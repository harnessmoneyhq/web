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37b94e809b47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ents" sheetId="1" r:id="Rbf14cca993114116"/>
    <x:sheet xmlns:r="http://schemas.openxmlformats.org/officeDocument/2006/relationships" name="Dashboard" sheetId="2" r:id="R50deaeaebe28438b"/>
    <x:sheet xmlns:r="http://schemas.openxmlformats.org/officeDocument/2006/relationships" name="Model Rates" sheetId="3" r:id="Rafe7b72b16d94d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yyyy-mm-dd hh:mm:ss"/>
    <x:numFmt numFmtId="201" formatCode="$0.000000"/>
    <x:numFmt numFmtId="202" formatCode="0.000"/>
    <x:numFmt numFmtId="203" formatCode="$0.00"/>
    <x:numFmt numFmtId="204" formatCode="0.0%"/>
    <x:numFmt numFmtId="205" formatCode="0"/>
    <x:numFmt numFmtId="206" formatCode="$0.00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i/>
      <x:sz val="11"/>
      <x:color rgb="FF37415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111827"/>
      </x:patternFill>
    </x:fill>
    <x:fill>
      <x:patternFill patternType="solid">
        <x:fgColor rgb="FFF3F4F6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206" fontId="0" fillId="0" borderId="0" xfId="0" applyNumberFormat="1" applyFont="1" applyFill="1" applyBorder="1"/>
    <x:xf numFmtId="206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b/>
        <x:color rgb="FF991B1B"/>
      </x:font>
      <x:fill>
        <x:patternFill patternType="solid"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726fc1c8cc450e" /><Relationship Type="http://schemas.openxmlformats.org/officeDocument/2006/relationships/theme" Target="/xl/theme/theme1.xml" Id="R6e39a278b5554620" /><Relationship Type="http://schemas.microsoft.com/office/2022/11/relationships/FeaturePropertyBag" Target="/xl/featurePropertyBag/featurePropertyBag.xml" Id="R11e2aa20cbf14603" /><Relationship Type="http://schemas.openxmlformats.org/officeDocument/2006/relationships/sharedStrings" Target="/xl/sharedStrings.xml" Id="R25473f7a5acf40d5" /><Relationship Type="http://schemas.openxmlformats.org/officeDocument/2006/relationships/worksheet" Target="/xl/worksheets/sheet1.xml" Id="Rbf14cca993114116" /><Relationship Type="http://schemas.openxmlformats.org/officeDocument/2006/relationships/worksheet" Target="/xl/worksheets/sheet2.xml" Id="R50deaeaebe28438b" /><Relationship Type="http://schemas.openxmlformats.org/officeDocument/2006/relationships/worksheet" Target="/xl/worksheets/sheet3.xml" Id="Rafe7b72b16d94d3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877eb6e96e64045" /><Relationship Type="http://schemas.openxmlformats.org/officeDocument/2006/relationships/chart" Target="/xl/drawings/charts/chart2.xml" Id="R02654a15b1424a1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Requests by Model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Requests</c:v>
          </c:tx>
          <c:cat>
            <c:strRef>
              <c:f>'Dashboard'!$D$4:$D$7</c:f>
              <c:strCache>
                <c:ptCount val="0"/>
              </c:strCache>
            </c:strRef>
          </c:cat>
          <c:val>
            <c:numRef>
              <c:f>'Dashboard'!$E$4:$E$7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Errors by Type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'Dashboard'!$F$12:$F$15</c:f>
              <c:strCache>
                <c:ptCount val="0"/>
              </c:strCache>
            </c:strRef>
          </c:cat>
          <c:val>
            <c:numRef>
              <c:f>'Dashboard'!$G$12:$G$15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1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877eb6e96e64045"/>
        </a:graphicData>
      </a:graphic>
    </xdr:graphicFrame>
    <xdr:clientData/>
  </xdr:twoCellAnchor>
  <xdr:twoCellAnchor>
    <xdr:from>
      <xdr:col>8</xdr:col>
      <xdr:colOff>0</xdr:colOff>
      <xdr:row>16</xdr:row>
      <xdr:rowOff>0</xdr:rowOff>
    </xdr:from>
    <xdr:to>
      <xdr:col>16</xdr:col>
      <xdr:colOff>0</xdr:colOff>
      <xdr:row>30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2654a15b1424a19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AIObservabilityEvents" displayName="AIObservabilityEvents" ref="A1:Y301" headerRowCount="1" totalsRowCount="0" totalsRowShown="0">
  <x:tableColumns count="25">
    <x:tableColumn id="1" name="timestamp"/>
    <x:tableColumn id="2" name="trace_id"/>
    <x:tableColumn id="3" name="span_id"/>
    <x:tableColumn id="4" name="request_id"/>
    <x:tableColumn id="5" name="app"/>
    <x:tableColumn id="6" name="environment"/>
    <x:tableColumn id="7" name="user_segment"/>
    <x:tableColumn id="8" name="model"/>
    <x:tableColumn id="9" name="operation"/>
    <x:tableColumn id="10" name="status"/>
    <x:tableColumn id="11" name="latency_ms"/>
    <x:tableColumn id="12" name="ttft_ms"/>
    <x:tableColumn id="13" name="input_tokens"/>
    <x:tableColumn id="14" name="output_tokens"/>
    <x:tableColumn id="15" name="total_tokens"/>
    <x:tableColumn id="16" name="estimated_cost_usd"/>
    <x:tableColumn id="17" name="prompt_version"/>
    <x:tableColumn id="18" name="tool_calls"/>
    <x:tableColumn id="19" name="cache_hit"/>
    <x:tableColumn id="20" name="guardrail_result"/>
    <x:tableColumn id="21" name="hallucination_score"/>
    <x:tableColumn id="22" name="relevance_score"/>
    <x:tableColumn id="23" name="groundedness_score"/>
    <x:tableColumn id="24" name="user_feedback"/>
    <x:tableColumn id="25" name="error_typ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e6807beb7d14e6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b7985eacbe964cfe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18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7" max="17" width="16" hidden="0" customWidth="1"/>
    <x:col min="20" max="20" width="16" hidden="0" customWidth="1"/>
    <x:col min="24" max="24" width="16" hidden="0" customWidth="1"/>
    <x:col min="25" max="25" width="16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8" max="18" width="14" hidden="0" customWidth="1"/>
    <x:col min="19" max="19" width="14" hidden="0" customWidth="1"/>
    <x:col min="21" max="21" width="14" hidden="0" customWidth="1"/>
    <x:col min="22" max="22" width="14" hidden="0" customWidth="1"/>
    <x:col min="23" max="23" width="14" hidden="0" customWidth="1"/>
  </x:cols>
  <x:sheetData>
    <x:row r="1">
      <x:c r="A1" s="7" t="str">
        <x:v>timestamp</x:v>
      </x:c>
      <x:c r="B1" s="7" t="str">
        <x:v>trace_id</x:v>
      </x:c>
      <x:c r="C1" s="7" t="str">
        <x:v>span_id</x:v>
      </x:c>
      <x:c r="D1" s="7" t="str">
        <x:v>request_id</x:v>
      </x:c>
      <x:c r="E1" s="7" t="str">
        <x:v>app</x:v>
      </x:c>
      <x:c r="F1" s="7" t="str">
        <x:v>environment</x:v>
      </x:c>
      <x:c r="G1" s="7" t="str">
        <x:v>user_segment</x:v>
      </x:c>
      <x:c r="H1" s="7" t="str">
        <x:v>model</x:v>
      </x:c>
      <x:c r="I1" s="7" t="str">
        <x:v>operation</x:v>
      </x:c>
      <x:c r="J1" s="7" t="str">
        <x:v>status</x:v>
      </x:c>
      <x:c r="K1" s="7" t="str">
        <x:v>latency_ms</x:v>
      </x:c>
      <x:c r="L1" s="7" t="str">
        <x:v>ttft_ms</x:v>
      </x:c>
      <x:c r="M1" s="7" t="str">
        <x:v>input_tokens</x:v>
      </x:c>
      <x:c r="N1" s="7" t="str">
        <x:v>output_tokens</x:v>
      </x:c>
      <x:c r="O1" s="7" t="str">
        <x:v>total_tokens</x:v>
      </x:c>
      <x:c r="P1" s="7" t="str">
        <x:v>estimated_cost_usd</x:v>
      </x:c>
      <x:c r="Q1" s="7" t="str">
        <x:v>prompt_version</x:v>
      </x:c>
      <x:c r="R1" s="7" t="str">
        <x:v>tool_calls</x:v>
      </x:c>
      <x:c r="S1" s="7" t="str">
        <x:v>cache_hit</x:v>
      </x:c>
      <x:c r="T1" s="7" t="str">
        <x:v>guardrail_result</x:v>
      </x:c>
      <x:c r="U1" s="7" t="str">
        <x:v>hallucination_score</x:v>
      </x:c>
      <x:c r="V1" s="7" t="str">
        <x:v>relevance_score</x:v>
      </x:c>
      <x:c r="W1" s="7" t="str">
        <x:v>groundedness_score</x:v>
      </x:c>
      <x:c r="X1" s="7" t="str">
        <x:v>user_feedback</x:v>
      </x:c>
      <x:c r="Y1" s="7" t="str">
        <x:v>error_type</x:v>
      </x:c>
    </x:row>
    <x:row r="2">
      <x:c r="A2" s="12" t="n">
        <x:v>46243.00108796296</x:v>
      </x:c>
      <x:c r="B2" t="str">
        <x:v>tr_6221a2f32e14</x:v>
      </x:c>
      <x:c r="C2" t="str">
        <x:v>sp_ecc7987b54</x:v>
      </x:c>
      <x:c r="D2" t="str">
        <x:v>req_caded1831011</x:v>
      </x:c>
      <x:c r="E2" t="str">
        <x:v>agent-workflow</x:v>
      </x:c>
      <x:c r="F2" t="str">
        <x:v>prod</x:v>
      </x:c>
      <x:c r="G2" t="str">
        <x:v>enterprise</x:v>
      </x:c>
      <x:c r="H2" t="str">
        <x:v>claude-sonnet</x:v>
      </x:c>
      <x:c r="I2" t="str">
        <x:v>summarization</x:v>
      </x:c>
      <x:c r="J2" t="str">
        <x:v>success</x:v>
      </x:c>
      <x:c r="K2" t="n">
        <x:v>979</x:v>
      </x:c>
      <x:c r="L2" t="n">
        <x:v>341</x:v>
      </x:c>
      <x:c r="M2" t="n">
        <x:v>1307</x:v>
      </x:c>
      <x:c r="N2" t="n">
        <x:v>478</x:v>
      </x:c>
      <x:c r="O2" t="n">
        <x:f>M2+N2</x:f>
        <x:v>1785</x:v>
      </x:c>
      <x:c r="P2" s="14" t="n">
        <x:f>M2/1000000*VLOOKUP(H2,'Model Rates'!$A$2:$C$5,2,FALSE)+N2/1000000*VLOOKUP(H2,'Model Rates'!$A$2:$C$5,3,FALSE)</x:f>
        <x:v>0.011091</x:v>
      </x:c>
      <x:c r="Q2" t="str">
        <x:v>v1.8</x:v>
      </x:c>
      <x:c r="R2" t="n">
        <x:v>0</x:v>
      </x:c>
      <x:c r="S2" s="1" t="b">
        <x:v>0</x:v>
      </x:c>
      <x:c r="T2" t="str">
        <x:v>review</x:v>
      </x:c>
      <x:c r="U2" s="16" t="n">
        <x:v>0.066</x:v>
      </x:c>
      <x:c r="V2" s="16" t="n">
        <x:v>0.881</x:v>
      </x:c>
      <x:c r="W2" s="16" t="n">
        <x:v>0.971</x:v>
      </x:c>
      <x:c r="X2" t="str">
        <x:v>none</x:v>
      </x:c>
      <x:c r="Y2" t="str"/>
    </x:row>
    <x:row r="3">
      <x:c r="A3" s="12" t="n">
        <x:v>46243.006574074076</x:v>
      </x:c>
      <x:c r="B3" t="str">
        <x:v>tr_cf113fb1c63a</x:v>
      </x:c>
      <x:c r="C3" t="str">
        <x:v>sp_972fe236ab</x:v>
      </x:c>
      <x:c r="D3" t="str">
        <x:v>req_9f771c370201</x:v>
      </x:c>
      <x:c r="E3" t="str">
        <x:v>support-copilot</x:v>
      </x:c>
      <x:c r="F3" t="str">
        <x:v>prod</x:v>
      </x:c>
      <x:c r="G3" t="str">
        <x:v>free</x:v>
      </x:c>
      <x:c r="H3" t="str">
        <x:v>gpt-5</x:v>
      </x:c>
      <x:c r="I3" t="str">
        <x:v>retrieval_answer</x:v>
      </x:c>
      <x:c r="J3" t="str">
        <x:v>success</x:v>
      </x:c>
      <x:c r="K3" t="n">
        <x:v>2968</x:v>
      </x:c>
      <x:c r="L3" t="n">
        <x:v>263</x:v>
      </x:c>
      <x:c r="M3" t="n">
        <x:v>273</x:v>
      </x:c>
      <x:c r="N3" t="n">
        <x:v>301</x:v>
      </x:c>
      <x:c r="O3" t="n">
        <x:f>M3+N3</x:f>
        <x:v>574</x:v>
      </x:c>
      <x:c r="P3" s="14" t="n">
        <x:f>M3/1000000*VLOOKUP(H3,'Model Rates'!$A$2:$C$5,2,FALSE)+N3/1000000*VLOOKUP(H3,'Model Rates'!$A$2:$C$5,3,FALSE)</x:f>
        <x:v>0.00335125</x:v>
      </x:c>
      <x:c r="Q3" t="str">
        <x:v>v1.8</x:v>
      </x:c>
      <x:c r="R3" t="n">
        <x:v>2</x:v>
      </x:c>
      <x:c r="S3" s="1" t="b">
        <x:v>0</x:v>
      </x:c>
      <x:c r="T3" t="str">
        <x:v>pass</x:v>
      </x:c>
      <x:c r="U3" s="16" t="n">
        <x:v>0.038</x:v>
      </x:c>
      <x:c r="V3" s="16" t="n">
        <x:v>0.813</x:v>
      </x:c>
      <x:c r="W3" s="16" t="n">
        <x:v>1</x:v>
      </x:c>
      <x:c r="X3" t="str">
        <x:v>none</x:v>
      </x:c>
      <x:c r="Y3" t="str"/>
    </x:row>
    <x:row r="4">
      <x:c r="A4" s="12" t="n">
        <x:v>46243.009664351855</x:v>
      </x:c>
      <x:c r="B4" t="str">
        <x:v>tr_094c751b3c0a</x:v>
      </x:c>
      <x:c r="C4" t="str">
        <x:v>sp_2a33a09888</x:v>
      </x:c>
      <x:c r="D4" t="str">
        <x:v>req_5c91c1908e2f</x:v>
      </x:c>
      <x:c r="E4" t="str">
        <x:v>support-copilot</x:v>
      </x:c>
      <x:c r="F4" t="str">
        <x:v>prod</x:v>
      </x:c>
      <x:c r="G4" t="str">
        <x:v>free</x:v>
      </x:c>
      <x:c r="H4" t="str">
        <x:v>gemini-pro</x:v>
      </x:c>
      <x:c r="I4" t="str">
        <x:v>chat_completion</x:v>
      </x:c>
      <x:c r="J4" t="str">
        <x:v>error</x:v>
      </x:c>
      <x:c r="K4" t="n">
        <x:v>1265</x:v>
      </x:c>
      <x:c r="L4" t="n">
        <x:v>301</x:v>
      </x:c>
      <x:c r="M4" t="n">
        <x:v>2629</x:v>
      </x:c>
      <x:c r="N4" t="n">
        <x:v>330</x:v>
      </x:c>
      <x:c r="O4" t="n">
        <x:f>M4+N4</x:f>
        <x:v>2959</x:v>
      </x:c>
      <x:c r="P4" s="14" t="n">
        <x:f>M4/1000000*VLOOKUP(H4,'Model Rates'!$A$2:$C$5,2,FALSE)+N4/1000000*VLOOKUP(H4,'Model Rates'!$A$2:$C$5,3,FALSE)</x:f>
        <x:v>0.00493625</x:v>
      </x:c>
      <x:c r="Q4" t="str">
        <x:v>v1.9</x:v>
      </x:c>
      <x:c r="R4" t="n">
        <x:v>0</x:v>
      </x:c>
      <x:c r="S4" s="1" t="b">
        <x:v>0</x:v>
      </x:c>
      <x:c r="T4" t="str">
        <x:v>pass</x:v>
      </x:c>
      <x:c r="U4" s="16" t="n">
        <x:v>0.261</x:v>
      </x:c>
      <x:c r="V4" s="16" t="n">
        <x:v>0.723</x:v>
      </x:c>
      <x:c r="W4" s="16" t="n">
        <x:v>0.622</x:v>
      </x:c>
      <x:c r="X4" t="str">
        <x:v>none</x:v>
      </x:c>
      <x:c r="Y4" t="str">
        <x:v>tool_error</x:v>
      </x:c>
    </x:row>
    <x:row r="5">
      <x:c r="A5" s="12" t="n">
        <x:v>46243.012766203705</x:v>
      </x:c>
      <x:c r="B5" t="str">
        <x:v>tr_4efbbaa4bfde</x:v>
      </x:c>
      <x:c r="C5" t="str">
        <x:v>sp_6acd0a0ede</x:v>
      </x:c>
      <x:c r="D5" t="str">
        <x:v>req_7f1593a33f1f</x:v>
      </x:c>
      <x:c r="E5" t="str">
        <x:v>search-assistant</x:v>
      </x:c>
      <x:c r="F5" t="str">
        <x:v>prod</x:v>
      </x:c>
      <x:c r="G5" t="str">
        <x:v>free</x:v>
      </x:c>
      <x:c r="H5" t="str">
        <x:v>gpt-5-mini</x:v>
      </x:c>
      <x:c r="I5" t="str">
        <x:v>summarization</x:v>
      </x:c>
      <x:c r="J5" t="str">
        <x:v>success</x:v>
      </x:c>
      <x:c r="K5" t="n">
        <x:v>741</x:v>
      </x:c>
      <x:c r="L5" t="n">
        <x:v>304</x:v>
      </x:c>
      <x:c r="M5" t="n">
        <x:v>1052</x:v>
      </x:c>
      <x:c r="N5" t="n">
        <x:v>276</x:v>
      </x:c>
      <x:c r="O5" t="n">
        <x:f>M5+N5</x:f>
        <x:v>1328</x:v>
      </x:c>
      <x:c r="P5" s="14" t="n">
        <x:f>M5/1000000*VLOOKUP(H5,'Model Rates'!$A$2:$C$5,2,FALSE)+N5/1000000*VLOOKUP(H5,'Model Rates'!$A$2:$C$5,3,FALSE)</x:f>
        <x:v>0.0008624</x:v>
      </x:c>
      <x:c r="Q5" t="str">
        <x:v>v2.0</x:v>
      </x:c>
      <x:c r="R5" t="n">
        <x:v>0</x:v>
      </x:c>
      <x:c r="S5" s="1" t="b">
        <x:v>0</x:v>
      </x:c>
      <x:c r="T5" t="str">
        <x:v>blocked</x:v>
      </x:c>
      <x:c r="U5" s="16" t="n">
        <x:v>0.018</x:v>
      </x:c>
      <x:c r="V5" s="16" t="n">
        <x:v>0.901</x:v>
      </x:c>
      <x:c r="W5" s="16" t="n">
        <x:v>0.755</x:v>
      </x:c>
      <x:c r="X5" t="str">
        <x:v>none</x:v>
      </x:c>
      <x:c r="Y5" t="str"/>
    </x:row>
    <x:row r="6">
      <x:c r="A6" s="12" t="n">
        <x:v>46243.01797453704</x:v>
      </x:c>
      <x:c r="B6" t="str">
        <x:v>tr_2ab0240a4692</x:v>
      </x:c>
      <x:c r="C6" t="str">
        <x:v>sp_c6163f6b81</x:v>
      </x:c>
      <x:c r="D6" t="str">
        <x:v>req_0e2de2b20f68</x:v>
      </x:c>
      <x:c r="E6" t="str">
        <x:v>doc-summarizer</x:v>
      </x:c>
      <x:c r="F6" t="str">
        <x:v>prod</x:v>
      </x:c>
      <x:c r="G6" t="str">
        <x:v>free</x:v>
      </x:c>
      <x:c r="H6" t="str">
        <x:v>gpt-5-mini</x:v>
      </x:c>
      <x:c r="I6" t="str">
        <x:v>retrieval_answer</x:v>
      </x:c>
      <x:c r="J6" t="str">
        <x:v>success</x:v>
      </x:c>
      <x:c r="K6" t="n">
        <x:v>910</x:v>
      </x:c>
      <x:c r="L6" t="n">
        <x:v>183</x:v>
      </x:c>
      <x:c r="M6" t="n">
        <x:v>575</x:v>
      </x:c>
      <x:c r="N6" t="n">
        <x:v>297</x:v>
      </x:c>
      <x:c r="O6" t="n">
        <x:f>M6+N6</x:f>
        <x:v>872</x:v>
      </x:c>
      <x:c r="P6" s="14" t="n">
        <x:f>M6/1000000*VLOOKUP(H6,'Model Rates'!$A$2:$C$5,2,FALSE)+N6/1000000*VLOOKUP(H6,'Model Rates'!$A$2:$C$5,3,FALSE)</x:f>
        <x:v>0.0007052</x:v>
      </x:c>
      <x:c r="Q6" t="str">
        <x:v>v2.0</x:v>
      </x:c>
      <x:c r="R6" t="n">
        <x:v>0</x:v>
      </x:c>
      <x:c r="S6" s="1" t="b">
        <x:v>0</x:v>
      </x:c>
      <x:c r="T6" t="str">
        <x:v>blocked</x:v>
      </x:c>
      <x:c r="U6" s="16" t="n">
        <x:v>0.185</x:v>
      </x:c>
      <x:c r="V6" s="16" t="n">
        <x:v>0.966</x:v>
      </x:c>
      <x:c r="W6" s="16" t="n">
        <x:v>0.885</x:v>
      </x:c>
      <x:c r="X6" t="str">
        <x:v>none</x:v>
      </x:c>
      <x:c r="Y6" t="str"/>
    </x:row>
    <x:row r="7">
      <x:c r="A7" s="12" t="n">
        <x:v>46243.021203703705</x:v>
      </x:c>
      <x:c r="B7" t="str">
        <x:v>tr_53bc21d0755f</x:v>
      </x:c>
      <x:c r="C7" t="str">
        <x:v>sp_9251d28386</x:v>
      </x:c>
      <x:c r="D7" t="str">
        <x:v>req_b6de483b0bf6</x:v>
      </x:c>
      <x:c r="E7" t="str">
        <x:v>search-assistant</x:v>
      </x:c>
      <x:c r="F7" t="str">
        <x:v>staging</x:v>
      </x:c>
      <x:c r="G7" t="str">
        <x:v>free</x:v>
      </x:c>
      <x:c r="H7" t="str">
        <x:v>gpt-5</x:v>
      </x:c>
      <x:c r="I7" t="str">
        <x:v>chat_completion</x:v>
      </x:c>
      <x:c r="J7" t="str">
        <x:v>success</x:v>
      </x:c>
      <x:c r="K7" t="n">
        <x:v>1882</x:v>
      </x:c>
      <x:c r="L7" t="n">
        <x:v>507</x:v>
      </x:c>
      <x:c r="M7" t="n">
        <x:v>497</x:v>
      </x:c>
      <x:c r="N7" t="n">
        <x:v>354</x:v>
      </x:c>
      <x:c r="O7" t="n">
        <x:f>M7+N7</x:f>
        <x:v>851</x:v>
      </x:c>
      <x:c r="P7" s="14" t="n">
        <x:f>M7/1000000*VLOOKUP(H7,'Model Rates'!$A$2:$C$5,2,FALSE)+N7/1000000*VLOOKUP(H7,'Model Rates'!$A$2:$C$5,3,FALSE)</x:f>
        <x:v>0.00416125</x:v>
      </x:c>
      <x:c r="Q7" t="str">
        <x:v>v1.9</x:v>
      </x:c>
      <x:c r="R7" t="n">
        <x:v>1</x:v>
      </x:c>
      <x:c r="S7" s="1" t="b">
        <x:v>0</x:v>
      </x:c>
      <x:c r="T7" t="str">
        <x:v>pass</x:v>
      </x:c>
      <x:c r="U7" s="16" t="n">
        <x:v>0.119</x:v>
      </x:c>
      <x:c r="V7" s="16" t="n">
        <x:v>0.885</x:v>
      </x:c>
      <x:c r="W7" s="16" t="n">
        <x:v>0.743</x:v>
      </x:c>
      <x:c r="X7" t="str">
        <x:v>negative</x:v>
      </x:c>
      <x:c r="Y7" t="str"/>
    </x:row>
    <x:row r="8">
      <x:c r="A8" s="12" t="n">
        <x:v>46243.02459490741</x:v>
      </x:c>
      <x:c r="B8" t="str">
        <x:v>tr_7f187e7bf665</x:v>
      </x:c>
      <x:c r="C8" t="str">
        <x:v>sp_41e838e277</x:v>
      </x:c>
      <x:c r="D8" t="str">
        <x:v>req_3b1dfc89c8ba</x:v>
      </x:c>
      <x:c r="E8" t="str">
        <x:v>agent-workflow</x:v>
      </x:c>
      <x:c r="F8" t="str">
        <x:v>prod</x:v>
      </x:c>
      <x:c r="G8" t="str">
        <x:v>free</x:v>
      </x:c>
      <x:c r="H8" t="str">
        <x:v>gpt-5-mini</x:v>
      </x:c>
      <x:c r="I8" t="str">
        <x:v>tool_agent</x:v>
      </x:c>
      <x:c r="J8" t="str">
        <x:v>success</x:v>
      </x:c>
      <x:c r="K8" t="n">
        <x:v>1676</x:v>
      </x:c>
      <x:c r="L8" t="n">
        <x:v>323</x:v>
      </x:c>
      <x:c r="M8" t="n">
        <x:v>428</x:v>
      </x:c>
      <x:c r="N8" t="n">
        <x:v>259</x:v>
      </x:c>
      <x:c r="O8" t="n">
        <x:f>M8+N8</x:f>
        <x:v>687</x:v>
      </x:c>
      <x:c r="P8" s="14" t="n">
        <x:f>M8/1000000*VLOOKUP(H8,'Model Rates'!$A$2:$C$5,2,FALSE)+N8/1000000*VLOOKUP(H8,'Model Rates'!$A$2:$C$5,3,FALSE)</x:f>
        <x:v>0.0005856</x:v>
      </x:c>
      <x:c r="Q8" t="str">
        <x:v>v1.8</x:v>
      </x:c>
      <x:c r="R8" t="n">
        <x:v>1</x:v>
      </x:c>
      <x:c r="S8" s="1" t="b">
        <x:v>0</x:v>
      </x:c>
      <x:c r="T8" t="str">
        <x:v>pass</x:v>
      </x:c>
      <x:c r="U8" s="16" t="n">
        <x:v>0.108</x:v>
      </x:c>
      <x:c r="V8" s="16" t="n">
        <x:v>0.689</x:v>
      </x:c>
      <x:c r="W8" s="16" t="n">
        <x:v>0.687</x:v>
      </x:c>
      <x:c r="X8" t="str">
        <x:v>positive</x:v>
      </x:c>
      <x:c r="Y8" t="str"/>
    </x:row>
    <x:row r="9">
      <x:c r="A9" s="12" t="n">
        <x:v>46243.02469907407</x:v>
      </x:c>
      <x:c r="B9" t="str">
        <x:v>tr_aa0640a8cab4</x:v>
      </x:c>
      <x:c r="C9" t="str">
        <x:v>sp_f5c0433d96</x:v>
      </x:c>
      <x:c r="D9" t="str">
        <x:v>req_f5c2fcdc105e</x:v>
      </x:c>
      <x:c r="E9" t="str">
        <x:v>search-assistant</x:v>
      </x:c>
      <x:c r="F9" t="str">
        <x:v>prod</x:v>
      </x:c>
      <x:c r="G9" t="str">
        <x:v>free</x:v>
      </x:c>
      <x:c r="H9" t="str">
        <x:v>gpt-5-mini</x:v>
      </x:c>
      <x:c r="I9" t="str">
        <x:v>retrieval_answer</x:v>
      </x:c>
      <x:c r="J9" t="str">
        <x:v>success</x:v>
      </x:c>
      <x:c r="K9" t="n">
        <x:v>891</x:v>
      </x:c>
      <x:c r="L9" t="n">
        <x:v>347</x:v>
      </x:c>
      <x:c r="M9" t="n">
        <x:v>336</x:v>
      </x:c>
      <x:c r="N9" t="n">
        <x:v>96</x:v>
      </x:c>
      <x:c r="O9" t="n">
        <x:f>M9+N9</x:f>
        <x:v>432</x:v>
      </x:c>
      <x:c r="P9" s="14" t="n">
        <x:f>M9/1000000*VLOOKUP(H9,'Model Rates'!$A$2:$C$5,2,FALSE)+N9/1000000*VLOOKUP(H9,'Model Rates'!$A$2:$C$5,3,FALSE)</x:f>
        <x:v>0.000288</x:v>
      </x:c>
      <x:c r="Q9" t="str">
        <x:v>v1.8</x:v>
      </x:c>
      <x:c r="R9" t="n">
        <x:v>0</x:v>
      </x:c>
      <x:c r="S9" s="1" t="b">
        <x:v>0</x:v>
      </x:c>
      <x:c r="T9" t="str">
        <x:v>pass</x:v>
      </x:c>
      <x:c r="U9" s="16" t="n">
        <x:v>0.173</x:v>
      </x:c>
      <x:c r="V9" s="16" t="n">
        <x:v>0.833</x:v>
      </x:c>
      <x:c r="W9" s="16" t="n">
        <x:v>0.723</x:v>
      </x:c>
      <x:c r="X9" t="str">
        <x:v>none</x:v>
      </x:c>
      <x:c r="Y9" t="str"/>
    </x:row>
    <x:row r="10">
      <x:c r="A10" s="12" t="n">
        <x:v>46243.03759259259</x:v>
      </x:c>
      <x:c r="B10" t="str">
        <x:v>tr_5e6069e4eb50</x:v>
      </x:c>
      <x:c r="C10" t="str">
        <x:v>sp_593bcaaabb</x:v>
      </x:c>
      <x:c r="D10" t="str">
        <x:v>req_4651ba0cf02a</x:v>
      </x:c>
      <x:c r="E10" t="str">
        <x:v>doc-summarizer</x:v>
      </x:c>
      <x:c r="F10" t="str">
        <x:v>prod</x:v>
      </x:c>
      <x:c r="G10" t="str">
        <x:v>free</x:v>
      </x:c>
      <x:c r="H10" t="str">
        <x:v>gpt-5-mini</x:v>
      </x:c>
      <x:c r="I10" t="str">
        <x:v>tool_agent</x:v>
      </x:c>
      <x:c r="J10" t="str">
        <x:v>success</x:v>
      </x:c>
      <x:c r="K10" t="n">
        <x:v>953</x:v>
      </x:c>
      <x:c r="L10" t="n">
        <x:v>191</x:v>
      </x:c>
      <x:c r="M10" t="n">
        <x:v>291</x:v>
      </x:c>
      <x:c r="N10" t="n">
        <x:v>401</x:v>
      </x:c>
      <x:c r="O10" t="n">
        <x:f>M10+N10</x:f>
        <x:v>692</x:v>
      </x:c>
      <x:c r="P10" s="14" t="n">
        <x:f>M10/1000000*VLOOKUP(H10,'Model Rates'!$A$2:$C$5,2,FALSE)+N10/1000000*VLOOKUP(H10,'Model Rates'!$A$2:$C$5,3,FALSE)</x:f>
        <x:v>0.000758</x:v>
      </x:c>
      <x:c r="Q10" t="str">
        <x:v>v1.8</x:v>
      </x:c>
      <x:c r="R10" t="n">
        <x:v>1</x:v>
      </x:c>
      <x:c r="S10" s="1" t="b">
        <x:v>0</x:v>
      </x:c>
      <x:c r="T10" t="str">
        <x:v>pass</x:v>
      </x:c>
      <x:c r="U10" s="16" t="n">
        <x:v>0.02</x:v>
      </x:c>
      <x:c r="V10" s="16" t="n">
        <x:v>1</x:v>
      </x:c>
      <x:c r="W10" s="16" t="n">
        <x:v>0.801</x:v>
      </x:c>
      <x:c r="X10" t="str">
        <x:v>positive</x:v>
      </x:c>
      <x:c r="Y10" t="str"/>
    </x:row>
    <x:row r="11">
      <x:c r="A11" s="12" t="n">
        <x:v>46243.037824074076</x:v>
      </x:c>
      <x:c r="B11" t="str">
        <x:v>tr_dcccfc472646</x:v>
      </x:c>
      <x:c r="C11" t="str">
        <x:v>sp_46ef1199d0</x:v>
      </x:c>
      <x:c r="D11" t="str">
        <x:v>req_529d20eed75d</x:v>
      </x:c>
      <x:c r="E11" t="str">
        <x:v>search-assistant</x:v>
      </x:c>
      <x:c r="F11" t="str">
        <x:v>prod</x:v>
      </x:c>
      <x:c r="G11" t="str">
        <x:v>enterprise</x:v>
      </x:c>
      <x:c r="H11" t="str">
        <x:v>claude-sonnet</x:v>
      </x:c>
      <x:c r="I11" t="str">
        <x:v>summarization</x:v>
      </x:c>
      <x:c r="J11" t="str">
        <x:v>success</x:v>
      </x:c>
      <x:c r="K11" t="n">
        <x:v>1513</x:v>
      </x:c>
      <x:c r="L11" t="n">
        <x:v>523</x:v>
      </x:c>
      <x:c r="M11" t="n">
        <x:v>1253</x:v>
      </x:c>
      <x:c r="N11" t="n">
        <x:v>227</x:v>
      </x:c>
      <x:c r="O11" t="n">
        <x:f>M11+N11</x:f>
        <x:v>1480</x:v>
      </x:c>
      <x:c r="P11" s="14" t="n">
        <x:f>M11/1000000*VLOOKUP(H11,'Model Rates'!$A$2:$C$5,2,FALSE)+N11/1000000*VLOOKUP(H11,'Model Rates'!$A$2:$C$5,3,FALSE)</x:f>
        <x:v>0.007164</x:v>
      </x:c>
      <x:c r="Q11" t="str">
        <x:v>v2.0</x:v>
      </x:c>
      <x:c r="R11" t="n">
        <x:v>0</x:v>
      </x:c>
      <x:c r="S11" s="1" t="b">
        <x:v>1</x:v>
      </x:c>
      <x:c r="T11" t="str">
        <x:v>pass</x:v>
      </x:c>
      <x:c r="U11" s="16" t="n">
        <x:v>0.207</x:v>
      </x:c>
      <x:c r="V11" s="16" t="n">
        <x:v>0.843</x:v>
      </x:c>
      <x:c r="W11" s="16" t="n">
        <x:v>0.745</x:v>
      </x:c>
      <x:c r="X11" t="str">
        <x:v>positive</x:v>
      </x:c>
      <x:c r="Y11" t="str"/>
    </x:row>
    <x:row r="12">
      <x:c r="A12" s="12" t="n">
        <x:v>46243.03796296296</x:v>
      </x:c>
      <x:c r="B12" t="str">
        <x:v>tr_145673deb33f</x:v>
      </x:c>
      <x:c r="C12" t="str">
        <x:v>sp_d4b36d9b44</x:v>
      </x:c>
      <x:c r="D12" t="str">
        <x:v>req_eedba649b9f4</x:v>
      </x:c>
      <x:c r="E12" t="str">
        <x:v>doc-summarizer</x:v>
      </x:c>
      <x:c r="F12" t="str">
        <x:v>prod</x:v>
      </x:c>
      <x:c r="G12" t="str">
        <x:v>free</x:v>
      </x:c>
      <x:c r="H12" t="str">
        <x:v>gpt-5</x:v>
      </x:c>
      <x:c r="I12" t="str">
        <x:v>chat_completion</x:v>
      </x:c>
      <x:c r="J12" t="str">
        <x:v>success</x:v>
      </x:c>
      <x:c r="K12" t="n">
        <x:v>1349</x:v>
      </x:c>
      <x:c r="L12" t="n">
        <x:v>863</x:v>
      </x:c>
      <x:c r="M12" t="n">
        <x:v>1167</x:v>
      </x:c>
      <x:c r="N12" t="n">
        <x:v>446</x:v>
      </x:c>
      <x:c r="O12" t="n">
        <x:f>M12+N12</x:f>
        <x:v>1613</x:v>
      </x:c>
      <x:c r="P12" s="14" t="n">
        <x:f>M12/1000000*VLOOKUP(H12,'Model Rates'!$A$2:$C$5,2,FALSE)+N12/1000000*VLOOKUP(H12,'Model Rates'!$A$2:$C$5,3,FALSE)</x:f>
        <x:v>0.00591875</x:v>
      </x:c>
      <x:c r="Q12" t="str">
        <x:v>v2.0</x:v>
      </x:c>
      <x:c r="R12" t="n">
        <x:v>0</x:v>
      </x:c>
      <x:c r="S12" s="1" t="b">
        <x:v>1</x:v>
      </x:c>
      <x:c r="T12" t="str">
        <x:v>pass</x:v>
      </x:c>
      <x:c r="U12" s="16" t="n">
        <x:v>0.055</x:v>
      </x:c>
      <x:c r="V12" s="16" t="n">
        <x:v>0.969</x:v>
      </x:c>
      <x:c r="W12" s="16" t="n">
        <x:v>0.905</x:v>
      </x:c>
      <x:c r="X12" t="str">
        <x:v>none</x:v>
      </x:c>
      <x:c r="Y12" t="str"/>
    </x:row>
    <x:row r="13">
      <x:c r="A13" s="12" t="n">
        <x:v>46243.040451388886</x:v>
      </x:c>
      <x:c r="B13" t="str">
        <x:v>tr_07dfae8946e6</x:v>
      </x:c>
      <x:c r="C13" t="str">
        <x:v>sp_2f8a66ac62</x:v>
      </x:c>
      <x:c r="D13" t="str">
        <x:v>req_dcef7eecca8e</x:v>
      </x:c>
      <x:c r="E13" t="str">
        <x:v>agent-workflow</x:v>
      </x:c>
      <x:c r="F13" t="str">
        <x:v>prod</x:v>
      </x:c>
      <x:c r="G13" t="str">
        <x:v>free</x:v>
      </x:c>
      <x:c r="H13" t="str">
        <x:v>gpt-5-mini</x:v>
      </x:c>
      <x:c r="I13" t="str">
        <x:v>chat_completion</x:v>
      </x:c>
      <x:c r="J13" t="str">
        <x:v>success</x:v>
      </x:c>
      <x:c r="K13" t="n">
        <x:v>1147</x:v>
      </x:c>
      <x:c r="L13" t="n">
        <x:v>134</x:v>
      </x:c>
      <x:c r="M13" t="n">
        <x:v>788</x:v>
      </x:c>
      <x:c r="N13" t="n">
        <x:v>512</x:v>
      </x:c>
      <x:c r="O13" t="n">
        <x:f>M13+N13</x:f>
        <x:v>1300</x:v>
      </x:c>
      <x:c r="P13" s="14" t="n">
        <x:f>M13/1000000*VLOOKUP(H13,'Model Rates'!$A$2:$C$5,2,FALSE)+N13/1000000*VLOOKUP(H13,'Model Rates'!$A$2:$C$5,3,FALSE)</x:f>
        <x:v>0.0011344</x:v>
      </x:c>
      <x:c r="Q13" t="str">
        <x:v>v1.8</x:v>
      </x:c>
      <x:c r="R13" t="n">
        <x:v>0</x:v>
      </x:c>
      <x:c r="S13" s="1" t="b">
        <x:v>0</x:v>
      </x:c>
      <x:c r="T13" t="str">
        <x:v>blocked</x:v>
      </x:c>
      <x:c r="U13" s="16" t="n">
        <x:v>0.091</x:v>
      </x:c>
      <x:c r="V13" s="16" t="n">
        <x:v>0.778</x:v>
      </x:c>
      <x:c r="W13" s="16" t="n">
        <x:v>0.889</x:v>
      </x:c>
      <x:c r="X13" t="str">
        <x:v>positive</x:v>
      </x:c>
      <x:c r="Y13" t="str"/>
    </x:row>
    <x:row r="14">
      <x:c r="A14" s="12" t="n">
        <x:v>46243.04090277778</x:v>
      </x:c>
      <x:c r="B14" t="str">
        <x:v>tr_5b2c7e1f107c</x:v>
      </x:c>
      <x:c r="C14" t="str">
        <x:v>sp_b0b09fa648</x:v>
      </x:c>
      <x:c r="D14" t="str">
        <x:v>req_73ef460d60a6</x:v>
      </x:c>
      <x:c r="E14" t="str">
        <x:v>support-copilot</x:v>
      </x:c>
      <x:c r="F14" t="str">
        <x:v>prod</x:v>
      </x:c>
      <x:c r="G14" t="str">
        <x:v>free</x:v>
      </x:c>
      <x:c r="H14" t="str">
        <x:v>gemini-pro</x:v>
      </x:c>
      <x:c r="I14" t="str">
        <x:v>retrieval_answer</x:v>
      </x:c>
      <x:c r="J14" t="str">
        <x:v>success</x:v>
      </x:c>
      <x:c r="K14" t="n">
        <x:v>564</x:v>
      </x:c>
      <x:c r="L14" t="n">
        <x:v>258</x:v>
      </x:c>
      <x:c r="M14" t="n">
        <x:v>578</x:v>
      </x:c>
      <x:c r="N14" t="n">
        <x:v>192</x:v>
      </x:c>
      <x:c r="O14" t="n">
        <x:f>M14+N14</x:f>
        <x:v>770</x:v>
      </x:c>
      <x:c r="P14" s="14" t="n">
        <x:f>M14/1000000*VLOOKUP(H14,'Model Rates'!$A$2:$C$5,2,FALSE)+N14/1000000*VLOOKUP(H14,'Model Rates'!$A$2:$C$5,3,FALSE)</x:f>
        <x:v>0.0016825</x:v>
      </x:c>
      <x:c r="Q14" t="str">
        <x:v>v1.9</x:v>
      </x:c>
      <x:c r="R14" t="n">
        <x:v>0</x:v>
      </x:c>
      <x:c r="S14" s="1" t="b">
        <x:v>0</x:v>
      </x:c>
      <x:c r="T14" t="str">
        <x:v>pass</x:v>
      </x:c>
      <x:c r="U14" s="16" t="n">
        <x:v>0.102</x:v>
      </x:c>
      <x:c r="V14" s="16" t="n">
        <x:v>1</x:v>
      </x:c>
      <x:c r="W14" s="16" t="n">
        <x:v>0.68</x:v>
      </x:c>
      <x:c r="X14" t="str">
        <x:v>positive</x:v>
      </x:c>
      <x:c r="Y14" t="str"/>
    </x:row>
    <x:row r="15">
      <x:c r="A15" s="12" t="n">
        <x:v>46243.0568287037</x:v>
      </x:c>
      <x:c r="B15" t="str">
        <x:v>tr_4b868ea9b0b8</x:v>
      </x:c>
      <x:c r="C15" t="str">
        <x:v>sp_5a35aaf910</x:v>
      </x:c>
      <x:c r="D15" t="str">
        <x:v>req_5009808d53ca</x:v>
      </x:c>
      <x:c r="E15" t="str">
        <x:v>agent-workflow</x:v>
      </x:c>
      <x:c r="F15" t="str">
        <x:v>prod</x:v>
      </x:c>
      <x:c r="G15" t="str">
        <x:v>pro</x:v>
      </x:c>
      <x:c r="H15" t="str">
        <x:v>gpt-5-mini</x:v>
      </x:c>
      <x:c r="I15" t="str">
        <x:v>retrieval_answer</x:v>
      </x:c>
      <x:c r="J15" t="str">
        <x:v>error</x:v>
      </x:c>
      <x:c r="K15" t="n">
        <x:v>945</x:v>
      </x:c>
      <x:c r="L15" t="n">
        <x:v>226</x:v>
      </x:c>
      <x:c r="M15" t="n">
        <x:v>716</x:v>
      </x:c>
      <x:c r="N15" t="n">
        <x:v>399</x:v>
      </x:c>
      <x:c r="O15" t="n">
        <x:f>M15+N15</x:f>
        <x:v>1115</x:v>
      </x:c>
      <x:c r="P15" s="14" t="n">
        <x:f>M15/1000000*VLOOKUP(H15,'Model Rates'!$A$2:$C$5,2,FALSE)+N15/1000000*VLOOKUP(H15,'Model Rates'!$A$2:$C$5,3,FALSE)</x:f>
        <x:v>0.0009247999999999999</x:v>
      </x:c>
      <x:c r="Q15" t="str">
        <x:v>v1.9</x:v>
      </x:c>
      <x:c r="R15" t="n">
        <x:v>0</x:v>
      </x:c>
      <x:c r="S15" s="1" t="b">
        <x:v>0</x:v>
      </x:c>
      <x:c r="T15" t="str">
        <x:v>blocked</x:v>
      </x:c>
      <x:c r="U15" s="16" t="n">
        <x:v>0.266</x:v>
      </x:c>
      <x:c r="V15" s="16" t="n">
        <x:v>0.621</x:v>
      </x:c>
      <x:c r="W15" s="16" t="n">
        <x:v>0.407</x:v>
      </x:c>
      <x:c r="X15" t="str">
        <x:v>positive</x:v>
      </x:c>
      <x:c r="Y15" t="str">
        <x:v>timeout</x:v>
      </x:c>
    </x:row>
    <x:row r="16">
      <x:c r="A16" s="12" t="n">
        <x:v>46243.05841435185</x:v>
      </x:c>
      <x:c r="B16" t="str">
        <x:v>tr_93c959a61139</x:v>
      </x:c>
      <x:c r="C16" t="str">
        <x:v>sp_a3eb80f253</x:v>
      </x:c>
      <x:c r="D16" t="str">
        <x:v>req_04c91bb313d0</x:v>
      </x:c>
      <x:c r="E16" t="str">
        <x:v>agent-workflow</x:v>
      </x:c>
      <x:c r="F16" t="str">
        <x:v>prod</x:v>
      </x:c>
      <x:c r="G16" t="str">
        <x:v>enterprise</x:v>
      </x:c>
      <x:c r="H16" t="str">
        <x:v>gpt-5</x:v>
      </x:c>
      <x:c r="I16" t="str">
        <x:v>tool_agent</x:v>
      </x:c>
      <x:c r="J16" t="str">
        <x:v>success</x:v>
      </x:c>
      <x:c r="K16" t="n">
        <x:v>1442</x:v>
      </x:c>
      <x:c r="L16" t="n">
        <x:v>532</x:v>
      </x:c>
      <x:c r="M16" t="n">
        <x:v>929</x:v>
      </x:c>
      <x:c r="N16" t="n">
        <x:v>429</x:v>
      </x:c>
      <x:c r="O16" t="n">
        <x:f>M16+N16</x:f>
        <x:v>1358</x:v>
      </x:c>
      <x:c r="P16" s="14" t="n">
        <x:f>M16/1000000*VLOOKUP(H16,'Model Rates'!$A$2:$C$5,2,FALSE)+N16/1000000*VLOOKUP(H16,'Model Rates'!$A$2:$C$5,3,FALSE)</x:f>
        <x:v>0.00545125</x:v>
      </x:c>
      <x:c r="Q16" t="str">
        <x:v>v1.9</x:v>
      </x:c>
      <x:c r="R16" t="n">
        <x:v>0</x:v>
      </x:c>
      <x:c r="S16" s="1" t="b">
        <x:v>0</x:v>
      </x:c>
      <x:c r="T16" t="str">
        <x:v>pass</x:v>
      </x:c>
      <x:c r="U16" s="16" t="n">
        <x:v>0.023</x:v>
      </x:c>
      <x:c r="V16" s="16" t="n">
        <x:v>0.923</x:v>
      </x:c>
      <x:c r="W16" s="16" t="n">
        <x:v>0.873</x:v>
      </x:c>
      <x:c r="X16" t="str">
        <x:v>positive</x:v>
      </x:c>
      <x:c r="Y16" t="str"/>
    </x:row>
    <x:row r="17">
      <x:c r="A17" s="12" t="n">
        <x:v>46243.06248842592</x:v>
      </x:c>
      <x:c r="B17" t="str">
        <x:v>tr_05708d965ec5</x:v>
      </x:c>
      <x:c r="C17" t="str">
        <x:v>sp_bb1fb78319</x:v>
      </x:c>
      <x:c r="D17" t="str">
        <x:v>req_9a7dd1fc99d9</x:v>
      </x:c>
      <x:c r="E17" t="str">
        <x:v>support-copilot</x:v>
      </x:c>
      <x:c r="F17" t="str">
        <x:v>prod</x:v>
      </x:c>
      <x:c r="G17" t="str">
        <x:v>enterprise</x:v>
      </x:c>
      <x:c r="H17" t="str">
        <x:v>claude-sonnet</x:v>
      </x:c>
      <x:c r="I17" t="str">
        <x:v>summarization</x:v>
      </x:c>
      <x:c r="J17" t="str">
        <x:v>success</x:v>
      </x:c>
      <x:c r="K17" t="n">
        <x:v>905</x:v>
      </x:c>
      <x:c r="L17" t="n">
        <x:v>290</x:v>
      </x:c>
      <x:c r="M17" t="n">
        <x:v>1754</x:v>
      </x:c>
      <x:c r="N17" t="n">
        <x:v>209</x:v>
      </x:c>
      <x:c r="O17" t="n">
        <x:f>M17+N17</x:f>
        <x:v>1963</x:v>
      </x:c>
      <x:c r="P17" s="14" t="n">
        <x:f>M17/1000000*VLOOKUP(H17,'Model Rates'!$A$2:$C$5,2,FALSE)+N17/1000000*VLOOKUP(H17,'Model Rates'!$A$2:$C$5,3,FALSE)</x:f>
        <x:v>0.008397</x:v>
      </x:c>
      <x:c r="Q17" t="str">
        <x:v>v1.8</x:v>
      </x:c>
      <x:c r="R17" t="n">
        <x:v>0</x:v>
      </x:c>
      <x:c r="S17" s="1" t="b">
        <x:v>0</x:v>
      </x:c>
      <x:c r="T17" t="str">
        <x:v>blocked</x:v>
      </x:c>
      <x:c r="U17" s="16" t="n">
        <x:v>0.123</x:v>
      </x:c>
      <x:c r="V17" s="16" t="n">
        <x:v>1</x:v>
      </x:c>
      <x:c r="W17" s="16" t="n">
        <x:v>0.76</x:v>
      </x:c>
      <x:c r="X17" t="str">
        <x:v>none</x:v>
      </x:c>
      <x:c r="Y17" t="str"/>
    </x:row>
    <x:row r="18">
      <x:c r="A18" s="12" t="n">
        <x:v>46243.06951388889</x:v>
      </x:c>
      <x:c r="B18" t="str">
        <x:v>tr_89480dc94656</x:v>
      </x:c>
      <x:c r="C18" t="str">
        <x:v>sp_8644d381f0</x:v>
      </x:c>
      <x:c r="D18" t="str">
        <x:v>req_58a5b4cc63ac</x:v>
      </x:c>
      <x:c r="E18" t="str">
        <x:v>doc-summarizer</x:v>
      </x:c>
      <x:c r="F18" t="str">
        <x:v>staging</x:v>
      </x:c>
      <x:c r="G18" t="str">
        <x:v>enterprise</x:v>
      </x:c>
      <x:c r="H18" t="str">
        <x:v>gpt-5</x:v>
      </x:c>
      <x:c r="I18" t="str">
        <x:v>chat_completion</x:v>
      </x:c>
      <x:c r="J18" t="str">
        <x:v>success</x:v>
      </x:c>
      <x:c r="K18" t="n">
        <x:v>1484</x:v>
      </x:c>
      <x:c r="L18" t="n">
        <x:v>228</x:v>
      </x:c>
      <x:c r="M18" t="n">
        <x:v>718</x:v>
      </x:c>
      <x:c r="N18" t="n">
        <x:v>378</x:v>
      </x:c>
      <x:c r="O18" t="n">
        <x:f>M18+N18</x:f>
        <x:v>1096</x:v>
      </x:c>
      <x:c r="P18" s="14" t="n">
        <x:f>M18/1000000*VLOOKUP(H18,'Model Rates'!$A$2:$C$5,2,FALSE)+N18/1000000*VLOOKUP(H18,'Model Rates'!$A$2:$C$5,3,FALSE)</x:f>
        <x:v>0.0046775</x:v>
      </x:c>
      <x:c r="Q18" t="str">
        <x:v>v2.0</x:v>
      </x:c>
      <x:c r="R18" t="n">
        <x:v>0</x:v>
      </x:c>
      <x:c r="S18" s="1" t="b">
        <x:v>0</x:v>
      </x:c>
      <x:c r="T18" t="str">
        <x:v>blocked</x:v>
      </x:c>
      <x:c r="U18" s="16" t="n">
        <x:v>0.115</x:v>
      </x:c>
      <x:c r="V18" s="16" t="n">
        <x:v>0.969</x:v>
      </x:c>
      <x:c r="W18" s="16" t="n">
        <x:v>1</x:v>
      </x:c>
      <x:c r="X18" t="str">
        <x:v>none</x:v>
      </x:c>
      <x:c r="Y18" t="str"/>
    </x:row>
    <x:row r="19">
      <x:c r="A19" s="12" t="n">
        <x:v>46243.0753125</x:v>
      </x:c>
      <x:c r="B19" t="str">
        <x:v>tr_11245016c42a</x:v>
      </x:c>
      <x:c r="C19" t="str">
        <x:v>sp_bb51a259bc</x:v>
      </x:c>
      <x:c r="D19" t="str">
        <x:v>req_78c82f663bde</x:v>
      </x:c>
      <x:c r="E19" t="str">
        <x:v>search-assistant</x:v>
      </x:c>
      <x:c r="F19" t="str">
        <x:v>prod</x:v>
      </x:c>
      <x:c r="G19" t="str">
        <x:v>pro</x:v>
      </x:c>
      <x:c r="H19" t="str">
        <x:v>gpt-5-mini</x:v>
      </x:c>
      <x:c r="I19" t="str">
        <x:v>tool_agent</x:v>
      </x:c>
      <x:c r="J19" t="str">
        <x:v>success</x:v>
      </x:c>
      <x:c r="K19" t="n">
        <x:v>1492</x:v>
      </x:c>
      <x:c r="L19" t="n">
        <x:v>374</x:v>
      </x:c>
      <x:c r="M19" t="n">
        <x:v>601</x:v>
      </x:c>
      <x:c r="N19" t="n">
        <x:v>781</x:v>
      </x:c>
      <x:c r="O19" t="n">
        <x:f>M19+N19</x:f>
        <x:v>1382</x:v>
      </x:c>
      <x:c r="P19" s="14" t="n">
        <x:f>M19/1000000*VLOOKUP(H19,'Model Rates'!$A$2:$C$5,2,FALSE)+N19/1000000*VLOOKUP(H19,'Model Rates'!$A$2:$C$5,3,FALSE)</x:f>
        <x:v>0.00149</x:v>
      </x:c>
      <x:c r="Q19" t="str">
        <x:v>v1.9</x:v>
      </x:c>
      <x:c r="R19" t="n">
        <x:v>1</x:v>
      </x:c>
      <x:c r="S19" s="1" t="b">
        <x:v>1</x:v>
      </x:c>
      <x:c r="T19" t="str">
        <x:v>blocked</x:v>
      </x:c>
      <x:c r="U19" s="16" t="n">
        <x:v>0.034</x:v>
      </x:c>
      <x:c r="V19" s="16" t="n">
        <x:v>0.841</x:v>
      </x:c>
      <x:c r="W19" s="16" t="n">
        <x:v>0.77</x:v>
      </x:c>
      <x:c r="X19" t="str">
        <x:v>positive</x:v>
      </x:c>
      <x:c r="Y19" t="str"/>
    </x:row>
    <x:row r="20">
      <x:c r="A20" s="12" t="n">
        <x:v>46243.081655092596</x:v>
      </x:c>
      <x:c r="B20" t="str">
        <x:v>tr_2be74eef5db9</x:v>
      </x:c>
      <x:c r="C20" t="str">
        <x:v>sp_32beb6b91f</x:v>
      </x:c>
      <x:c r="D20" t="str">
        <x:v>req_9d064d55bf6d</x:v>
      </x:c>
      <x:c r="E20" t="str">
        <x:v>agent-workflow</x:v>
      </x:c>
      <x:c r="F20" t="str">
        <x:v>prod</x:v>
      </x:c>
      <x:c r="G20" t="str">
        <x:v>enterprise</x:v>
      </x:c>
      <x:c r="H20" t="str">
        <x:v>gpt-5-mini</x:v>
      </x:c>
      <x:c r="I20" t="str">
        <x:v>chat_completion</x:v>
      </x:c>
      <x:c r="J20" t="str">
        <x:v>success</x:v>
      </x:c>
      <x:c r="K20" t="n">
        <x:v>1008</x:v>
      </x:c>
      <x:c r="L20" t="n">
        <x:v>214</x:v>
      </x:c>
      <x:c r="M20" t="n">
        <x:v>673</x:v>
      </x:c>
      <x:c r="N20" t="n">
        <x:v>931</x:v>
      </x:c>
      <x:c r="O20" t="n">
        <x:f>M20+N20</x:f>
        <x:v>1604</x:v>
      </x:c>
      <x:c r="P20" s="14" t="n">
        <x:f>M20/1000000*VLOOKUP(H20,'Model Rates'!$A$2:$C$5,2,FALSE)+N20/1000000*VLOOKUP(H20,'Model Rates'!$A$2:$C$5,3,FALSE)</x:f>
        <x:v>0.0017588</x:v>
      </x:c>
      <x:c r="Q20" t="str">
        <x:v>v1.9</x:v>
      </x:c>
      <x:c r="R20" t="n">
        <x:v>0</x:v>
      </x:c>
      <x:c r="S20" s="1" t="b">
        <x:v>0</x:v>
      </x:c>
      <x:c r="T20" t="str">
        <x:v>pass</x:v>
      </x:c>
      <x:c r="U20" s="16" t="n">
        <x:v>0.098</x:v>
      </x:c>
      <x:c r="V20" s="16" t="n">
        <x:v>1</x:v>
      </x:c>
      <x:c r="W20" s="16" t="n">
        <x:v>1</x:v>
      </x:c>
      <x:c r="X20" t="str">
        <x:v>none</x:v>
      </x:c>
      <x:c r="Y20" t="str"/>
    </x:row>
    <x:row r="21">
      <x:c r="A21" s="12" t="n">
        <x:v>46243.08392361111</x:v>
      </x:c>
      <x:c r="B21" t="str">
        <x:v>tr_27f0f4d6af06</x:v>
      </x:c>
      <x:c r="C21" t="str">
        <x:v>sp_ad57f0d2ec</x:v>
      </x:c>
      <x:c r="D21" t="str">
        <x:v>req_c222ba52133e</x:v>
      </x:c>
      <x:c r="E21" t="str">
        <x:v>support-copilot</x:v>
      </x:c>
      <x:c r="F21" t="str">
        <x:v>prod</x:v>
      </x:c>
      <x:c r="G21" t="str">
        <x:v>free</x:v>
      </x:c>
      <x:c r="H21" t="str">
        <x:v>claude-sonnet</x:v>
      </x:c>
      <x:c r="I21" t="str">
        <x:v>chat_completion</x:v>
      </x:c>
      <x:c r="J21" t="str">
        <x:v>success</x:v>
      </x:c>
      <x:c r="K21" t="n">
        <x:v>613</x:v>
      </x:c>
      <x:c r="L21" t="n">
        <x:v>352</x:v>
      </x:c>
      <x:c r="M21" t="n">
        <x:v>1803</x:v>
      </x:c>
      <x:c r="N21" t="n">
        <x:v>178</x:v>
      </x:c>
      <x:c r="O21" t="n">
        <x:f>M21+N21</x:f>
        <x:v>1981</x:v>
      </x:c>
      <x:c r="P21" s="14" t="n">
        <x:f>M21/1000000*VLOOKUP(H21,'Model Rates'!$A$2:$C$5,2,FALSE)+N21/1000000*VLOOKUP(H21,'Model Rates'!$A$2:$C$5,3,FALSE)</x:f>
        <x:v>0.008079</x:v>
      </x:c>
      <x:c r="Q21" t="str">
        <x:v>v2.0</x:v>
      </x:c>
      <x:c r="R21" t="n">
        <x:v>0</x:v>
      </x:c>
      <x:c r="S21" s="1" t="b">
        <x:v>0</x:v>
      </x:c>
      <x:c r="T21" t="str">
        <x:v>blocked</x:v>
      </x:c>
      <x:c r="U21" s="16" t="n">
        <x:v>0.08</x:v>
      </x:c>
      <x:c r="V21" s="16" t="n">
        <x:v>0.851</x:v>
      </x:c>
      <x:c r="W21" s="16" t="n">
        <x:v>0.804</x:v>
      </x:c>
      <x:c r="X21" t="str">
        <x:v>none</x:v>
      </x:c>
      <x:c r="Y21" t="str"/>
    </x:row>
    <x:row r="22">
      <x:c r="A22" s="12" t="n">
        <x:v>46243.09172453704</x:v>
      </x:c>
      <x:c r="B22" t="str">
        <x:v>tr_7fdb72db81ca</x:v>
      </x:c>
      <x:c r="C22" t="str">
        <x:v>sp_355dfd6351</x:v>
      </x:c>
      <x:c r="D22" t="str">
        <x:v>req_2d477ab30f99</x:v>
      </x:c>
      <x:c r="E22" t="str">
        <x:v>agent-workflow</x:v>
      </x:c>
      <x:c r="F22" t="str">
        <x:v>prod</x:v>
      </x:c>
      <x:c r="G22" t="str">
        <x:v>pro</x:v>
      </x:c>
      <x:c r="H22" t="str">
        <x:v>gemini-pro</x:v>
      </x:c>
      <x:c r="I22" t="str">
        <x:v>retrieval_answer</x:v>
      </x:c>
      <x:c r="J22" t="str">
        <x:v>error</x:v>
      </x:c>
      <x:c r="K22" t="n">
        <x:v>878</x:v>
      </x:c>
      <x:c r="L22" t="n">
        <x:v>490</x:v>
      </x:c>
      <x:c r="M22" t="n">
        <x:v>789</x:v>
      </x:c>
      <x:c r="N22" t="n">
        <x:v>346</x:v>
      </x:c>
      <x:c r="O22" t="n">
        <x:f>M22+N22</x:f>
        <x:v>1135</x:v>
      </x:c>
      <x:c r="P22" s="14" t="n">
        <x:f>M22/1000000*VLOOKUP(H22,'Model Rates'!$A$2:$C$5,2,FALSE)+N22/1000000*VLOOKUP(H22,'Model Rates'!$A$2:$C$5,3,FALSE)</x:f>
        <x:v>0.00271625</x:v>
      </x:c>
      <x:c r="Q22" t="str">
        <x:v>v2.0</x:v>
      </x:c>
      <x:c r="R22" t="n">
        <x:v>0</x:v>
      </x:c>
      <x:c r="S22" s="1" t="b">
        <x:v>1</x:v>
      </x:c>
      <x:c r="T22" t="str">
        <x:v>pass</x:v>
      </x:c>
      <x:c r="U22" s="16" t="n">
        <x:v>0.283</x:v>
      </x:c>
      <x:c r="V22" s="16" t="n">
        <x:v>0.757</x:v>
      </x:c>
      <x:c r="W22" s="16" t="n">
        <x:v>0.479</x:v>
      </x:c>
      <x:c r="X22" t="str">
        <x:v>none</x:v>
      </x:c>
      <x:c r="Y22" t="str">
        <x:v>tool_error</x:v>
      </x:c>
    </x:row>
    <x:row r="23">
      <x:c r="A23" s="12" t="n">
        <x:v>46243.095358796294</x:v>
      </x:c>
      <x:c r="B23" t="str">
        <x:v>tr_c1d2c4749e27</x:v>
      </x:c>
      <x:c r="C23" t="str">
        <x:v>sp_5f22af0821</x:v>
      </x:c>
      <x:c r="D23" t="str">
        <x:v>req_3caacd6784aa</x:v>
      </x:c>
      <x:c r="E23" t="str">
        <x:v>search-assistant</x:v>
      </x:c>
      <x:c r="F23" t="str">
        <x:v>prod</x:v>
      </x:c>
      <x:c r="G23" t="str">
        <x:v>free</x:v>
      </x:c>
      <x:c r="H23" t="str">
        <x:v>gpt-5-mini</x:v>
      </x:c>
      <x:c r="I23" t="str">
        <x:v>summarization</x:v>
      </x:c>
      <x:c r="J23" t="str">
        <x:v>success</x:v>
      </x:c>
      <x:c r="K23" t="n">
        <x:v>2535</x:v>
      </x:c>
      <x:c r="L23" t="n">
        <x:v>361</x:v>
      </x:c>
      <x:c r="M23" t="n">
        <x:v>221</x:v>
      </x:c>
      <x:c r="N23" t="n">
        <x:v>303</x:v>
      </x:c>
      <x:c r="O23" t="n">
        <x:f>M23+N23</x:f>
        <x:v>524</x:v>
      </x:c>
      <x:c r="P23" s="14" t="n">
        <x:f>M23/1000000*VLOOKUP(H23,'Model Rates'!$A$2:$C$5,2,FALSE)+N23/1000000*VLOOKUP(H23,'Model Rates'!$A$2:$C$5,3,FALSE)</x:f>
        <x:v>0.0005732000000000001</x:v>
      </x:c>
      <x:c r="Q23" t="str">
        <x:v>v2.0</x:v>
      </x:c>
      <x:c r="R23" t="n">
        <x:v>3</x:v>
      </x:c>
      <x:c r="S23" s="1" t="b">
        <x:v>0</x:v>
      </x:c>
      <x:c r="T23" t="str">
        <x:v>review</x:v>
      </x:c>
      <x:c r="U23" s="16" t="n">
        <x:v>0.012</x:v>
      </x:c>
      <x:c r="V23" s="16" t="n">
        <x:v>0.96</x:v>
      </x:c>
      <x:c r="W23" s="16" t="n">
        <x:v>1</x:v>
      </x:c>
      <x:c r="X23" t="str">
        <x:v>none</x:v>
      </x:c>
      <x:c r="Y23" t="str"/>
    </x:row>
    <x:row r="24">
      <x:c r="A24" s="12" t="n">
        <x:v>46243.097025462965</x:v>
      </x:c>
      <x:c r="B24" t="str">
        <x:v>tr_8c91e40dd684</x:v>
      </x:c>
      <x:c r="C24" t="str">
        <x:v>sp_c2022f681b</x:v>
      </x:c>
      <x:c r="D24" t="str">
        <x:v>req_58eaeddb4aa9</x:v>
      </x:c>
      <x:c r="E24" t="str">
        <x:v>support-copilot</x:v>
      </x:c>
      <x:c r="F24" t="str">
        <x:v>prod</x:v>
      </x:c>
      <x:c r="G24" t="str">
        <x:v>pro</x:v>
      </x:c>
      <x:c r="H24" t="str">
        <x:v>claude-sonnet</x:v>
      </x:c>
      <x:c r="I24" t="str">
        <x:v>tool_agent</x:v>
      </x:c>
      <x:c r="J24" t="str">
        <x:v>success</x:v>
      </x:c>
      <x:c r="K24" t="n">
        <x:v>1568</x:v>
      </x:c>
      <x:c r="L24" t="n">
        <x:v>490</x:v>
      </x:c>
      <x:c r="M24" t="n">
        <x:v>512</x:v>
      </x:c>
      <x:c r="N24" t="n">
        <x:v>102</x:v>
      </x:c>
      <x:c r="O24" t="n">
        <x:f>M24+N24</x:f>
        <x:v>614</x:v>
      </x:c>
      <x:c r="P24" s="14" t="n">
        <x:f>M24/1000000*VLOOKUP(H24,'Model Rates'!$A$2:$C$5,2,FALSE)+N24/1000000*VLOOKUP(H24,'Model Rates'!$A$2:$C$5,3,FALSE)</x:f>
        <x:v>0.003066</x:v>
      </x:c>
      <x:c r="Q24" t="str">
        <x:v>v2.0</x:v>
      </x:c>
      <x:c r="R24" t="n">
        <x:v>1</x:v>
      </x:c>
      <x:c r="S24" s="1" t="b">
        <x:v>0</x:v>
      </x:c>
      <x:c r="T24" t="str">
        <x:v>pass</x:v>
      </x:c>
      <x:c r="U24" s="16" t="n">
        <x:v>0</x:v>
      </x:c>
      <x:c r="V24" s="16" t="n">
        <x:v>0.994</x:v>
      </x:c>
      <x:c r="W24" s="16" t="n">
        <x:v>0.961</x:v>
      </x:c>
      <x:c r="X24" t="str">
        <x:v>none</x:v>
      </x:c>
      <x:c r="Y24" t="str"/>
    </x:row>
    <x:row r="25">
      <x:c r="A25" s="12" t="n">
        <x:v>46243.09721064815</x:v>
      </x:c>
      <x:c r="B25" t="str">
        <x:v>tr_a8211f174fc1</x:v>
      </x:c>
      <x:c r="C25" t="str">
        <x:v>sp_7b228a97e1</x:v>
      </x:c>
      <x:c r="D25" t="str">
        <x:v>req_32016fbcf8e8</x:v>
      </x:c>
      <x:c r="E25" t="str">
        <x:v>doc-summarizer</x:v>
      </x:c>
      <x:c r="F25" t="str">
        <x:v>prod</x:v>
      </x:c>
      <x:c r="G25" t="str">
        <x:v>free</x:v>
      </x:c>
      <x:c r="H25" t="str">
        <x:v>gpt-5-mini</x:v>
      </x:c>
      <x:c r="I25" t="str">
        <x:v>retrieval_answer</x:v>
      </x:c>
      <x:c r="J25" t="str">
        <x:v>success</x:v>
      </x:c>
      <x:c r="K25" t="n">
        <x:v>2624</x:v>
      </x:c>
      <x:c r="L25" t="n">
        <x:v>190</x:v>
      </x:c>
      <x:c r="M25" t="n">
        <x:v>1885</x:v>
      </x:c>
      <x:c r="N25" t="n">
        <x:v>319</x:v>
      </x:c>
      <x:c r="O25" t="n">
        <x:f>M25+N25</x:f>
        <x:v>2204</x:v>
      </x:c>
      <x:c r="P25" s="14" t="n">
        <x:f>M25/1000000*VLOOKUP(H25,'Model Rates'!$A$2:$C$5,2,FALSE)+N25/1000000*VLOOKUP(H25,'Model Rates'!$A$2:$C$5,3,FALSE)</x:f>
        <x:v>0.0012644000000000002</x:v>
      </x:c>
      <x:c r="Q25" t="str">
        <x:v>v2.0</x:v>
      </x:c>
      <x:c r="R25" t="n">
        <x:v>3</x:v>
      </x:c>
      <x:c r="S25" s="1" t="b">
        <x:v>1</x:v>
      </x:c>
      <x:c r="T25" t="str">
        <x:v>pass</x:v>
      </x:c>
      <x:c r="U25" s="16" t="n">
        <x:v>0.099</x:v>
      </x:c>
      <x:c r="V25" s="16" t="n">
        <x:v>0.939</x:v>
      </x:c>
      <x:c r="W25" s="16" t="n">
        <x:v>1</x:v>
      </x:c>
      <x:c r="X25" t="str">
        <x:v>positive</x:v>
      </x:c>
      <x:c r="Y25" t="str"/>
    </x:row>
    <x:row r="26">
      <x:c r="A26" s="12" t="n">
        <x:v>46243.09936342593</x:v>
      </x:c>
      <x:c r="B26" t="str">
        <x:v>tr_caa711610c80</x:v>
      </x:c>
      <x:c r="C26" t="str">
        <x:v>sp_02813c9d4f</x:v>
      </x:c>
      <x:c r="D26" t="str">
        <x:v>req_d658c16965de</x:v>
      </x:c>
      <x:c r="E26" t="str">
        <x:v>support-copilot</x:v>
      </x:c>
      <x:c r="F26" t="str">
        <x:v>prod</x:v>
      </x:c>
      <x:c r="G26" t="str">
        <x:v>free</x:v>
      </x:c>
      <x:c r="H26" t="str">
        <x:v>claude-sonnet</x:v>
      </x:c>
      <x:c r="I26" t="str">
        <x:v>summarization</x:v>
      </x:c>
      <x:c r="J26" t="str">
        <x:v>success</x:v>
      </x:c>
      <x:c r="K26" t="n">
        <x:v>1235</x:v>
      </x:c>
      <x:c r="L26" t="n">
        <x:v>500</x:v>
      </x:c>
      <x:c r="M26" t="n">
        <x:v>763</x:v>
      </x:c>
      <x:c r="N26" t="n">
        <x:v>240</x:v>
      </x:c>
      <x:c r="O26" t="n">
        <x:f>M26+N26</x:f>
        <x:v>1003</x:v>
      </x:c>
      <x:c r="P26" s="14" t="n">
        <x:f>M26/1000000*VLOOKUP(H26,'Model Rates'!$A$2:$C$5,2,FALSE)+N26/1000000*VLOOKUP(H26,'Model Rates'!$A$2:$C$5,3,FALSE)</x:f>
        <x:v>0.005889</x:v>
      </x:c>
      <x:c r="Q26" t="str">
        <x:v>v2.0</x:v>
      </x:c>
      <x:c r="R26" t="n">
        <x:v>0</x:v>
      </x:c>
      <x:c r="S26" s="1" t="b">
        <x:v>1</x:v>
      </x:c>
      <x:c r="T26" t="str">
        <x:v>pass</x:v>
      </x:c>
      <x:c r="U26" s="16" t="n">
        <x:v>0.051</x:v>
      </x:c>
      <x:c r="V26" s="16" t="n">
        <x:v>0.915</x:v>
      </x:c>
      <x:c r="W26" s="16" t="n">
        <x:v>0.813</x:v>
      </x:c>
      <x:c r="X26" t="str">
        <x:v>none</x:v>
      </x:c>
      <x:c r="Y26" t="str"/>
    </x:row>
    <x:row r="27">
      <x:c r="A27" s="12" t="n">
        <x:v>46243.09954861111</x:v>
      </x:c>
      <x:c r="B27" t="str">
        <x:v>tr_b33efe3791e0</x:v>
      </x:c>
      <x:c r="C27" t="str">
        <x:v>sp_1d3d28933d</x:v>
      </x:c>
      <x:c r="D27" t="str">
        <x:v>req_77e842991966</x:v>
      </x:c>
      <x:c r="E27" t="str">
        <x:v>agent-workflow</x:v>
      </x:c>
      <x:c r="F27" t="str">
        <x:v>prod</x:v>
      </x:c>
      <x:c r="G27" t="str">
        <x:v>free</x:v>
      </x:c>
      <x:c r="H27" t="str">
        <x:v>gpt-5-mini</x:v>
      </x:c>
      <x:c r="I27" t="str">
        <x:v>tool_agent</x:v>
      </x:c>
      <x:c r="J27" t="str">
        <x:v>error</x:v>
      </x:c>
      <x:c r="K27" t="n">
        <x:v>1957</x:v>
      </x:c>
      <x:c r="L27" t="n">
        <x:v>192</x:v>
      </x:c>
      <x:c r="M27" t="n">
        <x:v>516</x:v>
      </x:c>
      <x:c r="N27" t="n">
        <x:v>376</x:v>
      </x:c>
      <x:c r="O27" t="n">
        <x:f>M27+N27</x:f>
        <x:v>892</x:v>
      </x:c>
      <x:c r="P27" s="14" t="n">
        <x:f>M27/1000000*VLOOKUP(H27,'Model Rates'!$A$2:$C$5,2,FALSE)+N27/1000000*VLOOKUP(H27,'Model Rates'!$A$2:$C$5,3,FALSE)</x:f>
        <x:v>0.000808</x:v>
      </x:c>
      <x:c r="Q27" t="str">
        <x:v>v1.8</x:v>
      </x:c>
      <x:c r="R27" t="n">
        <x:v>2</x:v>
      </x:c>
      <x:c r="S27" s="1" t="b">
        <x:v>0</x:v>
      </x:c>
      <x:c r="T27" t="str">
        <x:v>pass</x:v>
      </x:c>
      <x:c r="U27" s="16" t="n">
        <x:v>0.219</x:v>
      </x:c>
      <x:c r="V27" s="16" t="n">
        <x:v>0.567</x:v>
      </x:c>
      <x:c r="W27" s="16" t="n">
        <x:v>0.619</x:v>
      </x:c>
      <x:c r="X27" t="str">
        <x:v>positive</x:v>
      </x:c>
      <x:c r="Y27" t="str">
        <x:v>provider_5xx</x:v>
      </x:c>
    </x:row>
    <x:row r="28">
      <x:c r="A28" s="12" t="n">
        <x:v>46243.111134259256</x:v>
      </x:c>
      <x:c r="B28" t="str">
        <x:v>tr_864bb144df95</x:v>
      </x:c>
      <x:c r="C28" t="str">
        <x:v>sp_d3e1a64bb6</x:v>
      </x:c>
      <x:c r="D28" t="str">
        <x:v>req_a8a3a4b8450c</x:v>
      </x:c>
      <x:c r="E28" t="str">
        <x:v>doc-summarizer</x:v>
      </x:c>
      <x:c r="F28" t="str">
        <x:v>prod</x:v>
      </x:c>
      <x:c r="G28" t="str">
        <x:v>free</x:v>
      </x:c>
      <x:c r="H28" t="str">
        <x:v>gpt-5</x:v>
      </x:c>
      <x:c r="I28" t="str">
        <x:v>chat_completion</x:v>
      </x:c>
      <x:c r="J28" t="str">
        <x:v>success</x:v>
      </x:c>
      <x:c r="K28" t="n">
        <x:v>4226</x:v>
      </x:c>
      <x:c r="L28" t="n">
        <x:v>437</x:v>
      </x:c>
      <x:c r="M28" t="n">
        <x:v>1671</x:v>
      </x:c>
      <x:c r="N28" t="n">
        <x:v>426</x:v>
      </x:c>
      <x:c r="O28" t="n">
        <x:f>M28+N28</x:f>
        <x:v>2097</x:v>
      </x:c>
      <x:c r="P28" s="14" t="n">
        <x:f>M28/1000000*VLOOKUP(H28,'Model Rates'!$A$2:$C$5,2,FALSE)+N28/1000000*VLOOKUP(H28,'Model Rates'!$A$2:$C$5,3,FALSE)</x:f>
        <x:v>0.00634875</x:v>
      </x:c>
      <x:c r="Q28" t="str">
        <x:v>v1.8</x:v>
      </x:c>
      <x:c r="R28" t="n">
        <x:v>3</x:v>
      </x:c>
      <x:c r="S28" s="1" t="b">
        <x:v>0</x:v>
      </x:c>
      <x:c r="T28" t="str">
        <x:v>blocked</x:v>
      </x:c>
      <x:c r="U28" s="16" t="n">
        <x:v>0.067</x:v>
      </x:c>
      <x:c r="V28" s="16" t="n">
        <x:v>1</x:v>
      </x:c>
      <x:c r="W28" s="16" t="n">
        <x:v>0.997</x:v>
      </x:c>
      <x:c r="X28" t="str">
        <x:v>none</x:v>
      </x:c>
      <x:c r="Y28" t="str"/>
    </x:row>
    <x:row r="29">
      <x:c r="A29" s="12" t="n">
        <x:v>46243.11219907407</x:v>
      </x:c>
      <x:c r="B29" t="str">
        <x:v>tr_467f423d8100</x:v>
      </x:c>
      <x:c r="C29" t="str">
        <x:v>sp_c116e451fd</x:v>
      </x:c>
      <x:c r="D29" t="str">
        <x:v>req_7ec674d9ce64</x:v>
      </x:c>
      <x:c r="E29" t="str">
        <x:v>agent-workflow</x:v>
      </x:c>
      <x:c r="F29" t="str">
        <x:v>prod</x:v>
      </x:c>
      <x:c r="G29" t="str">
        <x:v>pro</x:v>
      </x:c>
      <x:c r="H29" t="str">
        <x:v>gpt-5</x:v>
      </x:c>
      <x:c r="I29" t="str">
        <x:v>retrieval_answer</x:v>
      </x:c>
      <x:c r="J29" t="str">
        <x:v>success</x:v>
      </x:c>
      <x:c r="K29" t="n">
        <x:v>2397</x:v>
      </x:c>
      <x:c r="L29" t="n">
        <x:v>625</x:v>
      </x:c>
      <x:c r="M29" t="n">
        <x:v>1115</x:v>
      </x:c>
      <x:c r="N29" t="n">
        <x:v>73</x:v>
      </x:c>
      <x:c r="O29" t="n">
        <x:f>M29+N29</x:f>
        <x:v>1188</x:v>
      </x:c>
      <x:c r="P29" s="14" t="n">
        <x:f>M29/1000000*VLOOKUP(H29,'Model Rates'!$A$2:$C$5,2,FALSE)+N29/1000000*VLOOKUP(H29,'Model Rates'!$A$2:$C$5,3,FALSE)</x:f>
        <x:v>0.0021237499999999998</x:v>
      </x:c>
      <x:c r="Q29" t="str">
        <x:v>v2.0</x:v>
      </x:c>
      <x:c r="R29" t="n">
        <x:v>0</x:v>
      </x:c>
      <x:c r="S29" s="1" t="b">
        <x:v>0</x:v>
      </x:c>
      <x:c r="T29" t="str">
        <x:v>pass</x:v>
      </x:c>
      <x:c r="U29" s="16" t="n">
        <x:v>0.163</x:v>
      </x:c>
      <x:c r="V29" s="16" t="n">
        <x:v>0.978</x:v>
      </x:c>
      <x:c r="W29" s="16" t="n">
        <x:v>0.936</x:v>
      </x:c>
      <x:c r="X29" t="str">
        <x:v>none</x:v>
      </x:c>
      <x:c r="Y29" t="str"/>
    </x:row>
    <x:row r="30">
      <x:c r="A30" s="12" t="n">
        <x:v>46243.11375</x:v>
      </x:c>
      <x:c r="B30" t="str">
        <x:v>tr_5894ca67bdf0</x:v>
      </x:c>
      <x:c r="C30" t="str">
        <x:v>sp_f48b23ecbc</x:v>
      </x:c>
      <x:c r="D30" t="str">
        <x:v>req_8b8d82a69478</x:v>
      </x:c>
      <x:c r="E30" t="str">
        <x:v>support-copilot</x:v>
      </x:c>
      <x:c r="F30" t="str">
        <x:v>prod</x:v>
      </x:c>
      <x:c r="G30" t="str">
        <x:v>pro</x:v>
      </x:c>
      <x:c r="H30" t="str">
        <x:v>gpt-5-mini</x:v>
      </x:c>
      <x:c r="I30" t="str">
        <x:v>tool_agent</x:v>
      </x:c>
      <x:c r="J30" t="str">
        <x:v>success</x:v>
      </x:c>
      <x:c r="K30" t="n">
        <x:v>1292</x:v>
      </x:c>
      <x:c r="L30" t="n">
        <x:v>291</x:v>
      </x:c>
      <x:c r="M30" t="n">
        <x:v>1293</x:v>
      </x:c>
      <x:c r="N30" t="n">
        <x:v>526</x:v>
      </x:c>
      <x:c r="O30" t="n">
        <x:f>M30+N30</x:f>
        <x:v>1819</x:v>
      </x:c>
      <x:c r="P30" s="14" t="n">
        <x:f>M30/1000000*VLOOKUP(H30,'Model Rates'!$A$2:$C$5,2,FALSE)+N30/1000000*VLOOKUP(H30,'Model Rates'!$A$2:$C$5,3,FALSE)</x:f>
        <x:v>0.0013588000000000003</x:v>
      </x:c>
      <x:c r="Q30" t="str">
        <x:v>v2.0</x:v>
      </x:c>
      <x:c r="R30" t="n">
        <x:v>1</x:v>
      </x:c>
      <x:c r="S30" s="1" t="b">
        <x:v>0</x:v>
      </x:c>
      <x:c r="T30" t="str">
        <x:v>pass</x:v>
      </x:c>
      <x:c r="U30" s="16" t="n">
        <x:v>0.137</x:v>
      </x:c>
      <x:c r="V30" s="16" t="n">
        <x:v>0.885</x:v>
      </x:c>
      <x:c r="W30" s="16" t="n">
        <x:v>0.978</x:v>
      </x:c>
      <x:c r="X30" t="str">
        <x:v>none</x:v>
      </x:c>
      <x:c r="Y30" t="str"/>
    </x:row>
    <x:row r="31">
      <x:c r="A31" s="12" t="n">
        <x:v>46243.11435185185</x:v>
      </x:c>
      <x:c r="B31" t="str">
        <x:v>tr_40cf3601b65f</x:v>
      </x:c>
      <x:c r="C31" t="str">
        <x:v>sp_265235ba00</x:v>
      </x:c>
      <x:c r="D31" t="str">
        <x:v>req_61dbb3378f83</x:v>
      </x:c>
      <x:c r="E31" t="str">
        <x:v>support-copilot</x:v>
      </x:c>
      <x:c r="F31" t="str">
        <x:v>prod</x:v>
      </x:c>
      <x:c r="G31" t="str">
        <x:v>enterprise</x:v>
      </x:c>
      <x:c r="H31" t="str">
        <x:v>gpt-5</x:v>
      </x:c>
      <x:c r="I31" t="str">
        <x:v>chat_completion</x:v>
      </x:c>
      <x:c r="J31" t="str">
        <x:v>success</x:v>
      </x:c>
      <x:c r="K31" t="n">
        <x:v>1858</x:v>
      </x:c>
      <x:c r="L31" t="n">
        <x:v>138</x:v>
      </x:c>
      <x:c r="M31" t="n">
        <x:v>1384</x:v>
      </x:c>
      <x:c r="N31" t="n">
        <x:v>255</x:v>
      </x:c>
      <x:c r="O31" t="n">
        <x:f>M31+N31</x:f>
        <x:v>1639</x:v>
      </x:c>
      <x:c r="P31" s="14" t="n">
        <x:f>M31/1000000*VLOOKUP(H31,'Model Rates'!$A$2:$C$5,2,FALSE)+N31/1000000*VLOOKUP(H31,'Model Rates'!$A$2:$C$5,3,FALSE)</x:f>
        <x:v>0.00428</x:v>
      </x:c>
      <x:c r="Q31" t="str">
        <x:v>v2.0</x:v>
      </x:c>
      <x:c r="R31" t="n">
        <x:v>0</x:v>
      </x:c>
      <x:c r="S31" s="1" t="b">
        <x:v>1</x:v>
      </x:c>
      <x:c r="T31" t="str">
        <x:v>pass</x:v>
      </x:c>
      <x:c r="U31" s="16" t="n">
        <x:v>0.185</x:v>
      </x:c>
      <x:c r="V31" s="16" t="n">
        <x:v>1</x:v>
      </x:c>
      <x:c r="W31" s="16" t="n">
        <x:v>0.823</x:v>
      </x:c>
      <x:c r="X31" t="str">
        <x:v>none</x:v>
      </x:c>
      <x:c r="Y31" t="str"/>
    </x:row>
    <x:row r="32">
      <x:c r="A32" s="12" t="n">
        <x:v>46243.118483796294</x:v>
      </x:c>
      <x:c r="B32" t="str">
        <x:v>tr_b0712e4c4bfe</x:v>
      </x:c>
      <x:c r="C32" t="str">
        <x:v>sp_31fe19a118</x:v>
      </x:c>
      <x:c r="D32" t="str">
        <x:v>req_39b158d8d5b1</x:v>
      </x:c>
      <x:c r="E32" t="str">
        <x:v>support-copilot</x:v>
      </x:c>
      <x:c r="F32" t="str">
        <x:v>prod</x:v>
      </x:c>
      <x:c r="G32" t="str">
        <x:v>pro</x:v>
      </x:c>
      <x:c r="H32" t="str">
        <x:v>gemini-pro</x:v>
      </x:c>
      <x:c r="I32" t="str">
        <x:v>tool_agent</x:v>
      </x:c>
      <x:c r="J32" t="str">
        <x:v>success</x:v>
      </x:c>
      <x:c r="K32" t="n">
        <x:v>800</x:v>
      </x:c>
      <x:c r="L32" t="n">
        <x:v>263</x:v>
      </x:c>
      <x:c r="M32" t="n">
        <x:v>982</x:v>
      </x:c>
      <x:c r="N32" t="n">
        <x:v>185</x:v>
      </x:c>
      <x:c r="O32" t="n">
        <x:f>M32+N32</x:f>
        <x:v>1167</x:v>
      </x:c>
      <x:c r="P32" s="14" t="n">
        <x:f>M32/1000000*VLOOKUP(H32,'Model Rates'!$A$2:$C$5,2,FALSE)+N32/1000000*VLOOKUP(H32,'Model Rates'!$A$2:$C$5,3,FALSE)</x:f>
        <x:v>0.0021525</x:v>
      </x:c>
      <x:c r="Q32" t="str">
        <x:v>v1.8</x:v>
      </x:c>
      <x:c r="R32" t="n">
        <x:v>0</x:v>
      </x:c>
      <x:c r="S32" s="1" t="b">
        <x:v>1</x:v>
      </x:c>
      <x:c r="T32" t="str">
        <x:v>pass</x:v>
      </x:c>
      <x:c r="U32" s="16" t="n">
        <x:v>0.104</x:v>
      </x:c>
      <x:c r="V32" s="16" t="n">
        <x:v>0.88</x:v>
      </x:c>
      <x:c r="W32" s="16" t="n">
        <x:v>0.734</x:v>
      </x:c>
      <x:c r="X32" t="str">
        <x:v>none</x:v>
      </x:c>
      <x:c r="Y32" t="str"/>
    </x:row>
    <x:row r="33">
      <x:c r="A33" s="12" t="n">
        <x:v>46243.119155092594</x:v>
      </x:c>
      <x:c r="B33" t="str">
        <x:v>tr_aadf5b031c43</x:v>
      </x:c>
      <x:c r="C33" t="str">
        <x:v>sp_913f4722f5</x:v>
      </x:c>
      <x:c r="D33" t="str">
        <x:v>req_c47b63f8a3b9</x:v>
      </x:c>
      <x:c r="E33" t="str">
        <x:v>agent-workflow</x:v>
      </x:c>
      <x:c r="F33" t="str">
        <x:v>prod</x:v>
      </x:c>
      <x:c r="G33" t="str">
        <x:v>free</x:v>
      </x:c>
      <x:c r="H33" t="str">
        <x:v>gemini-pro</x:v>
      </x:c>
      <x:c r="I33" t="str">
        <x:v>retrieval_answer</x:v>
      </x:c>
      <x:c r="J33" t="str">
        <x:v>success</x:v>
      </x:c>
      <x:c r="K33" t="n">
        <x:v>1642</x:v>
      </x:c>
      <x:c r="L33" t="n">
        <x:v>460</x:v>
      </x:c>
      <x:c r="M33" t="n">
        <x:v>493</x:v>
      </x:c>
      <x:c r="N33" t="n">
        <x:v>466</x:v>
      </x:c>
      <x:c r="O33" t="n">
        <x:f>M33+N33</x:f>
        <x:v>959</x:v>
      </x:c>
      <x:c r="P33" s="14" t="n">
        <x:f>M33/1000000*VLOOKUP(H33,'Model Rates'!$A$2:$C$5,2,FALSE)+N33/1000000*VLOOKUP(H33,'Model Rates'!$A$2:$C$5,3,FALSE)</x:f>
        <x:v>0.00294625</x:v>
      </x:c>
      <x:c r="Q33" t="str">
        <x:v>v1.9</x:v>
      </x:c>
      <x:c r="R33" t="n">
        <x:v>0</x:v>
      </x:c>
      <x:c r="S33" s="1" t="b">
        <x:v>0</x:v>
      </x:c>
      <x:c r="T33" t="str">
        <x:v>pass</x:v>
      </x:c>
      <x:c r="U33" s="16" t="n">
        <x:v>0.017</x:v>
      </x:c>
      <x:c r="V33" s="16" t="n">
        <x:v>0.791</x:v>
      </x:c>
      <x:c r="W33" s="16" t="n">
        <x:v>0.967</x:v>
      </x:c>
      <x:c r="X33" t="str">
        <x:v>none</x:v>
      </x:c>
      <x:c r="Y33" t="str"/>
    </x:row>
    <x:row r="34">
      <x:c r="A34" s="12" t="n">
        <x:v>46243.128796296296</x:v>
      </x:c>
      <x:c r="B34" t="str">
        <x:v>tr_572f319bf5b3</x:v>
      </x:c>
      <x:c r="C34" t="str">
        <x:v>sp_bb8b6aa602</x:v>
      </x:c>
      <x:c r="D34" t="str">
        <x:v>req_46dad2dbe3d1</x:v>
      </x:c>
      <x:c r="E34" t="str">
        <x:v>search-assistant</x:v>
      </x:c>
      <x:c r="F34" t="str">
        <x:v>prod</x:v>
      </x:c>
      <x:c r="G34" t="str">
        <x:v>free</x:v>
      </x:c>
      <x:c r="H34" t="str">
        <x:v>gpt-5</x:v>
      </x:c>
      <x:c r="I34" t="str">
        <x:v>chat_completion</x:v>
      </x:c>
      <x:c r="J34" t="str">
        <x:v>success</x:v>
      </x:c>
      <x:c r="K34" t="n">
        <x:v>1294</x:v>
      </x:c>
      <x:c r="L34" t="n">
        <x:v>357</x:v>
      </x:c>
      <x:c r="M34" t="n">
        <x:v>138</x:v>
      </x:c>
      <x:c r="N34" t="n">
        <x:v>185</x:v>
      </x:c>
      <x:c r="O34" t="n">
        <x:f>M34+N34</x:f>
        <x:v>323</x:v>
      </x:c>
      <x:c r="P34" s="14" t="n">
        <x:f>M34/1000000*VLOOKUP(H34,'Model Rates'!$A$2:$C$5,2,FALSE)+N34/1000000*VLOOKUP(H34,'Model Rates'!$A$2:$C$5,3,FALSE)</x:f>
        <x:v>0.0020225</x:v>
      </x:c>
      <x:c r="Q34" t="str">
        <x:v>v2.0</x:v>
      </x:c>
      <x:c r="R34" t="n">
        <x:v>0</x:v>
      </x:c>
      <x:c r="S34" s="1" t="b">
        <x:v>0</x:v>
      </x:c>
      <x:c r="T34" t="str">
        <x:v>pass</x:v>
      </x:c>
      <x:c r="U34" s="16" t="n">
        <x:v>0.247</x:v>
      </x:c>
      <x:c r="V34" s="16" t="n">
        <x:v>0.76</x:v>
      </x:c>
      <x:c r="W34" s="16" t="n">
        <x:v>0.887</x:v>
      </x:c>
      <x:c r="X34" t="str">
        <x:v>positive</x:v>
      </x:c>
      <x:c r="Y34" t="str"/>
    </x:row>
    <x:row r="35">
      <x:c r="A35" s="12" t="n">
        <x:v>46243.13104166667</x:v>
      </x:c>
      <x:c r="B35" t="str">
        <x:v>tr_0cf3d75b6f46</x:v>
      </x:c>
      <x:c r="C35" t="str">
        <x:v>sp_c2a9d0f5a9</x:v>
      </x:c>
      <x:c r="D35" t="str">
        <x:v>req_3257de89e8de</x:v>
      </x:c>
      <x:c r="E35" t="str">
        <x:v>search-assistant</x:v>
      </x:c>
      <x:c r="F35" t="str">
        <x:v>prod</x:v>
      </x:c>
      <x:c r="G35" t="str">
        <x:v>pro</x:v>
      </x:c>
      <x:c r="H35" t="str">
        <x:v>claude-sonnet</x:v>
      </x:c>
      <x:c r="I35" t="str">
        <x:v>tool_agent</x:v>
      </x:c>
      <x:c r="J35" t="str">
        <x:v>success</x:v>
      </x:c>
      <x:c r="K35" t="n">
        <x:v>1272</x:v>
      </x:c>
      <x:c r="L35" t="n">
        <x:v>375</x:v>
      </x:c>
      <x:c r="M35" t="n">
        <x:v>558</x:v>
      </x:c>
      <x:c r="N35" t="n">
        <x:v>451</x:v>
      </x:c>
      <x:c r="O35" t="n">
        <x:f>M35+N35</x:f>
        <x:v>1009</x:v>
      </x:c>
      <x:c r="P35" s="14" t="n">
        <x:f>M35/1000000*VLOOKUP(H35,'Model Rates'!$A$2:$C$5,2,FALSE)+N35/1000000*VLOOKUP(H35,'Model Rates'!$A$2:$C$5,3,FALSE)</x:f>
        <x:v>0.008439</x:v>
      </x:c>
      <x:c r="Q35" t="str">
        <x:v>v1.8</x:v>
      </x:c>
      <x:c r="R35" t="n">
        <x:v>0</x:v>
      </x:c>
      <x:c r="S35" s="1" t="b">
        <x:v>0</x:v>
      </x:c>
      <x:c r="T35" t="str">
        <x:v>pass</x:v>
      </x:c>
      <x:c r="U35" s="16" t="n">
        <x:v>0.105</x:v>
      </x:c>
      <x:c r="V35" s="16" t="n">
        <x:v>0.821</x:v>
      </x:c>
      <x:c r="W35" s="16" t="n">
        <x:v>0.853</x:v>
      </x:c>
      <x:c r="X35" t="str">
        <x:v>negative</x:v>
      </x:c>
      <x:c r="Y35" t="str"/>
    </x:row>
    <x:row r="36">
      <x:c r="A36" s="12" t="n">
        <x:v>46243.1325462963</x:v>
      </x:c>
      <x:c r="B36" t="str">
        <x:v>tr_d72aa9309b6c</x:v>
      </x:c>
      <x:c r="C36" t="str">
        <x:v>sp_58417ed40a</x:v>
      </x:c>
      <x:c r="D36" t="str">
        <x:v>req_666049116b9f</x:v>
      </x:c>
      <x:c r="E36" t="str">
        <x:v>agent-workflow</x:v>
      </x:c>
      <x:c r="F36" t="str">
        <x:v>prod</x:v>
      </x:c>
      <x:c r="G36" t="str">
        <x:v>free</x:v>
      </x:c>
      <x:c r="H36" t="str">
        <x:v>gemini-pro</x:v>
      </x:c>
      <x:c r="I36" t="str">
        <x:v>chat_completion</x:v>
      </x:c>
      <x:c r="J36" t="str">
        <x:v>success</x:v>
      </x:c>
      <x:c r="K36" t="n">
        <x:v>1332</x:v>
      </x:c>
      <x:c r="L36" t="n">
        <x:v>493</x:v>
      </x:c>
      <x:c r="M36" t="n">
        <x:v>1737</x:v>
      </x:c>
      <x:c r="N36" t="n">
        <x:v>213</x:v>
      </x:c>
      <x:c r="O36" t="n">
        <x:f>M36+N36</x:f>
        <x:v>1950</x:v>
      </x:c>
      <x:c r="P36" s="14" t="n">
        <x:f>M36/1000000*VLOOKUP(H36,'Model Rates'!$A$2:$C$5,2,FALSE)+N36/1000000*VLOOKUP(H36,'Model Rates'!$A$2:$C$5,3,FALSE)</x:f>
        <x:v>0.00323625</x:v>
      </x:c>
      <x:c r="Q36" t="str">
        <x:v>v1.9</x:v>
      </x:c>
      <x:c r="R36" t="n">
        <x:v>0</x:v>
      </x:c>
      <x:c r="S36" s="1" t="b">
        <x:v>0</x:v>
      </x:c>
      <x:c r="T36" t="str">
        <x:v>blocked</x:v>
      </x:c>
      <x:c r="U36" s="16" t="n">
        <x:v>0.005</x:v>
      </x:c>
      <x:c r="V36" s="16" t="n">
        <x:v>0.874</x:v>
      </x:c>
      <x:c r="W36" s="16" t="n">
        <x:v>0.998</x:v>
      </x:c>
      <x:c r="X36" t="str">
        <x:v>negative</x:v>
      </x:c>
      <x:c r="Y36" t="str"/>
    </x:row>
    <x:row r="37">
      <x:c r="A37" s="12" t="n">
        <x:v>46243.1390625</x:v>
      </x:c>
      <x:c r="B37" t="str">
        <x:v>tr_2d794b23a785</x:v>
      </x:c>
      <x:c r="C37" t="str">
        <x:v>sp_c37a6ae8d3</x:v>
      </x:c>
      <x:c r="D37" t="str">
        <x:v>req_263b6259bc84</x:v>
      </x:c>
      <x:c r="E37" t="str">
        <x:v>support-copilot</x:v>
      </x:c>
      <x:c r="F37" t="str">
        <x:v>prod</x:v>
      </x:c>
      <x:c r="G37" t="str">
        <x:v>free</x:v>
      </x:c>
      <x:c r="H37" t="str">
        <x:v>gpt-5</x:v>
      </x:c>
      <x:c r="I37" t="str">
        <x:v>tool_agent</x:v>
      </x:c>
      <x:c r="J37" t="str">
        <x:v>success</x:v>
      </x:c>
      <x:c r="K37" t="n">
        <x:v>2475</x:v>
      </x:c>
      <x:c r="L37" t="n">
        <x:v>450</x:v>
      </x:c>
      <x:c r="M37" t="n">
        <x:v>1305</x:v>
      </x:c>
      <x:c r="N37" t="n">
        <x:v>522</x:v>
      </x:c>
      <x:c r="O37" t="n">
        <x:f>M37+N37</x:f>
        <x:v>1827</x:v>
      </x:c>
      <x:c r="P37" s="14" t="n">
        <x:f>M37/1000000*VLOOKUP(H37,'Model Rates'!$A$2:$C$5,2,FALSE)+N37/1000000*VLOOKUP(H37,'Model Rates'!$A$2:$C$5,3,FALSE)</x:f>
        <x:v>0.00685125</x:v>
      </x:c>
      <x:c r="Q37" t="str">
        <x:v>v1.8</x:v>
      </x:c>
      <x:c r="R37" t="n">
        <x:v>1</x:v>
      </x:c>
      <x:c r="S37" s="1" t="b">
        <x:v>0</x:v>
      </x:c>
      <x:c r="T37" t="str">
        <x:v>review</x:v>
      </x:c>
      <x:c r="U37" s="16" t="n">
        <x:v>0.082</x:v>
      </x:c>
      <x:c r="V37" s="16" t="n">
        <x:v>1</x:v>
      </x:c>
      <x:c r="W37" s="16" t="n">
        <x:v>1</x:v>
      </x:c>
      <x:c r="X37" t="str">
        <x:v>positive</x:v>
      </x:c>
      <x:c r="Y37" t="str"/>
    </x:row>
    <x:row r="38">
      <x:c r="A38" s="12" t="n">
        <x:v>46243.14445601852</x:v>
      </x:c>
      <x:c r="B38" t="str">
        <x:v>tr_a34a4d45854d</x:v>
      </x:c>
      <x:c r="C38" t="str">
        <x:v>sp_26bc7d18f5</x:v>
      </x:c>
      <x:c r="D38" t="str">
        <x:v>req_ef095b41900f</x:v>
      </x:c>
      <x:c r="E38" t="str">
        <x:v>agent-workflow</x:v>
      </x:c>
      <x:c r="F38" t="str">
        <x:v>prod</x:v>
      </x:c>
      <x:c r="G38" t="str">
        <x:v>enterprise</x:v>
      </x:c>
      <x:c r="H38" t="str">
        <x:v>gpt-5-mini</x:v>
      </x:c>
      <x:c r="I38" t="str">
        <x:v>tool_agent</x:v>
      </x:c>
      <x:c r="J38" t="str">
        <x:v>success</x:v>
      </x:c>
      <x:c r="K38" t="n">
        <x:v>834</x:v>
      </x:c>
      <x:c r="L38" t="n">
        <x:v>263</x:v>
      </x:c>
      <x:c r="M38" t="n">
        <x:v>1143</x:v>
      </x:c>
      <x:c r="N38" t="n">
        <x:v>158</x:v>
      </x:c>
      <x:c r="O38" t="n">
        <x:f>M38+N38</x:f>
        <x:v>1301</x:v>
      </x:c>
      <x:c r="P38" s="14" t="n">
        <x:f>M38/1000000*VLOOKUP(H38,'Model Rates'!$A$2:$C$5,2,FALSE)+N38/1000000*VLOOKUP(H38,'Model Rates'!$A$2:$C$5,3,FALSE)</x:f>
        <x:v>0.00071</x:v>
      </x:c>
      <x:c r="Q38" t="str">
        <x:v>v2.0</x:v>
      </x:c>
      <x:c r="R38" t="n">
        <x:v>0</x:v>
      </x:c>
      <x:c r="S38" s="1" t="b">
        <x:v>0</x:v>
      </x:c>
      <x:c r="T38" t="str">
        <x:v>blocked</x:v>
      </x:c>
      <x:c r="U38" s="16" t="n">
        <x:v>0</x:v>
      </x:c>
      <x:c r="V38" s="16" t="n">
        <x:v>0.815</x:v>
      </x:c>
      <x:c r="W38" s="16" t="n">
        <x:v>0.922</x:v>
      </x:c>
      <x:c r="X38" t="str">
        <x:v>positive</x:v>
      </x:c>
      <x:c r="Y38" t="str"/>
    </x:row>
    <x:row r="39">
      <x:c r="A39" s="12" t="n">
        <x:v>46243.15013888889</x:v>
      </x:c>
      <x:c r="B39" t="str">
        <x:v>tr_cfb17c814e73</x:v>
      </x:c>
      <x:c r="C39" t="str">
        <x:v>sp_eb9ca0ab97</x:v>
      </x:c>
      <x:c r="D39" t="str">
        <x:v>req_7788fb27af2a</x:v>
      </x:c>
      <x:c r="E39" t="str">
        <x:v>support-copilot</x:v>
      </x:c>
      <x:c r="F39" t="str">
        <x:v>prod</x:v>
      </x:c>
      <x:c r="G39" t="str">
        <x:v>free</x:v>
      </x:c>
      <x:c r="H39" t="str">
        <x:v>gpt-5</x:v>
      </x:c>
      <x:c r="I39" t="str">
        <x:v>chat_completion</x:v>
      </x:c>
      <x:c r="J39" t="str">
        <x:v>error</x:v>
      </x:c>
      <x:c r="K39" t="n">
        <x:v>4166</x:v>
      </x:c>
      <x:c r="L39" t="n">
        <x:v>433</x:v>
      </x:c>
      <x:c r="M39" t="n">
        <x:v>832</x:v>
      </x:c>
      <x:c r="N39" t="n">
        <x:v>192</x:v>
      </x:c>
      <x:c r="O39" t="n">
        <x:f>M39+N39</x:f>
        <x:v>1024</x:v>
      </x:c>
      <x:c r="P39" s="14" t="n">
        <x:f>M39/1000000*VLOOKUP(H39,'Model Rates'!$A$2:$C$5,2,FALSE)+N39/1000000*VLOOKUP(H39,'Model Rates'!$A$2:$C$5,3,FALSE)</x:f>
        <x:v>0.00296</x:v>
      </x:c>
      <x:c r="Q39" t="str">
        <x:v>v1.9</x:v>
      </x:c>
      <x:c r="R39" t="n">
        <x:v>2</x:v>
      </x:c>
      <x:c r="S39" s="1" t="b">
        <x:v>0</x:v>
      </x:c>
      <x:c r="T39" t="str">
        <x:v>pass</x:v>
      </x:c>
      <x:c r="U39" s="16" t="n">
        <x:v>0.031</x:v>
      </x:c>
      <x:c r="V39" s="16" t="n">
        <x:v>0.545</x:v>
      </x:c>
      <x:c r="W39" s="16" t="n">
        <x:v>0.526</x:v>
      </x:c>
      <x:c r="X39" t="str">
        <x:v>positive</x:v>
      </x:c>
      <x:c r="Y39" t="str">
        <x:v>timeout</x:v>
      </x:c>
    </x:row>
    <x:row r="40">
      <x:c r="A40" s="12" t="n">
        <x:v>46243.155625</x:v>
      </x:c>
      <x:c r="B40" t="str">
        <x:v>tr_39652d494856</x:v>
      </x:c>
      <x:c r="C40" t="str">
        <x:v>sp_fb664a0476</x:v>
      </x:c>
      <x:c r="D40" t="str">
        <x:v>req_e79f91e15399</x:v>
      </x:c>
      <x:c r="E40" t="str">
        <x:v>doc-summarizer</x:v>
      </x:c>
      <x:c r="F40" t="str">
        <x:v>prod</x:v>
      </x:c>
      <x:c r="G40" t="str">
        <x:v>free</x:v>
      </x:c>
      <x:c r="H40" t="str">
        <x:v>claude-sonnet</x:v>
      </x:c>
      <x:c r="I40" t="str">
        <x:v>tool_agent</x:v>
      </x:c>
      <x:c r="J40" t="str">
        <x:v>error</x:v>
      </x:c>
      <x:c r="K40" t="n">
        <x:v>1255</x:v>
      </x:c>
      <x:c r="L40" t="n">
        <x:v>535</x:v>
      </x:c>
      <x:c r="M40" t="n">
        <x:v>1708</x:v>
      </x:c>
      <x:c r="N40" t="n">
        <x:v>116</x:v>
      </x:c>
      <x:c r="O40" t="n">
        <x:f>M40+N40</x:f>
        <x:v>1824</x:v>
      </x:c>
      <x:c r="P40" s="14" t="n">
        <x:f>M40/1000000*VLOOKUP(H40,'Model Rates'!$A$2:$C$5,2,FALSE)+N40/1000000*VLOOKUP(H40,'Model Rates'!$A$2:$C$5,3,FALSE)</x:f>
        <x:v>0.006864</x:v>
      </x:c>
      <x:c r="Q40" t="str">
        <x:v>v2.0</x:v>
      </x:c>
      <x:c r="R40" t="n">
        <x:v>0</x:v>
      </x:c>
      <x:c r="S40" s="1" t="b">
        <x:v>0</x:v>
      </x:c>
      <x:c r="T40" t="str">
        <x:v>pass</x:v>
      </x:c>
      <x:c r="U40" s="16" t="n">
        <x:v>0.123</x:v>
      </x:c>
      <x:c r="V40" s="16" t="n">
        <x:v>0.773</x:v>
      </x:c>
      <x:c r="W40" s="16" t="n">
        <x:v>0.727</x:v>
      </x:c>
      <x:c r="X40" t="str">
        <x:v>positive</x:v>
      </x:c>
      <x:c r="Y40" t="str">
        <x:v>provider_5xx</x:v>
      </x:c>
    </x:row>
    <x:row r="41">
      <x:c r="A41" s="12" t="n">
        <x:v>46243.15840277778</x:v>
      </x:c>
      <x:c r="B41" t="str">
        <x:v>tr_0483681f952f</x:v>
      </x:c>
      <x:c r="C41" t="str">
        <x:v>sp_40e8660499</x:v>
      </x:c>
      <x:c r="D41" t="str">
        <x:v>req_dfca367c1c98</x:v>
      </x:c>
      <x:c r="E41" t="str">
        <x:v>search-assistant</x:v>
      </x:c>
      <x:c r="F41" t="str">
        <x:v>prod</x:v>
      </x:c>
      <x:c r="G41" t="str">
        <x:v>free</x:v>
      </x:c>
      <x:c r="H41" t="str">
        <x:v>claude-sonnet</x:v>
      </x:c>
      <x:c r="I41" t="str">
        <x:v>chat_completion</x:v>
      </x:c>
      <x:c r="J41" t="str">
        <x:v>success</x:v>
      </x:c>
      <x:c r="K41" t="n">
        <x:v>2083</x:v>
      </x:c>
      <x:c r="L41" t="n">
        <x:v>429</x:v>
      </x:c>
      <x:c r="M41" t="n">
        <x:v>505</x:v>
      </x:c>
      <x:c r="N41" t="n">
        <x:v>229</x:v>
      </x:c>
      <x:c r="O41" t="n">
        <x:f>M41+N41</x:f>
        <x:v>734</x:v>
      </x:c>
      <x:c r="P41" s="14" t="n">
        <x:f>M41/1000000*VLOOKUP(H41,'Model Rates'!$A$2:$C$5,2,FALSE)+N41/1000000*VLOOKUP(H41,'Model Rates'!$A$2:$C$5,3,FALSE)</x:f>
        <x:v>0.00495</x:v>
      </x:c>
      <x:c r="Q41" t="str">
        <x:v>v1.9</x:v>
      </x:c>
      <x:c r="R41" t="n">
        <x:v>0</x:v>
      </x:c>
      <x:c r="S41" s="1" t="b">
        <x:v>0</x:v>
      </x:c>
      <x:c r="T41" t="str">
        <x:v>pass</x:v>
      </x:c>
      <x:c r="U41" s="16" t="n">
        <x:v>0.146</x:v>
      </x:c>
      <x:c r="V41" s="16" t="n">
        <x:v>0.861</x:v>
      </x:c>
      <x:c r="W41" s="16" t="n">
        <x:v>1</x:v>
      </x:c>
      <x:c r="X41" t="str">
        <x:v>none</x:v>
      </x:c>
      <x:c r="Y41" t="str"/>
    </x:row>
    <x:row r="42">
      <x:c r="A42" s="12" t="n">
        <x:v>46243.16128472222</x:v>
      </x:c>
      <x:c r="B42" t="str">
        <x:v>tr_7ffae860c8c4</x:v>
      </x:c>
      <x:c r="C42" t="str">
        <x:v>sp_110ada7a4c</x:v>
      </x:c>
      <x:c r="D42" t="str">
        <x:v>req_ca1481952f88</x:v>
      </x:c>
      <x:c r="E42" t="str">
        <x:v>search-assistant</x:v>
      </x:c>
      <x:c r="F42" t="str">
        <x:v>prod</x:v>
      </x:c>
      <x:c r="G42" t="str">
        <x:v>enterprise</x:v>
      </x:c>
      <x:c r="H42" t="str">
        <x:v>gpt-5-mini</x:v>
      </x:c>
      <x:c r="I42" t="str">
        <x:v>retrieval_answer</x:v>
      </x:c>
      <x:c r="J42" t="str">
        <x:v>error</x:v>
      </x:c>
      <x:c r="K42" t="n">
        <x:v>2176</x:v>
      </x:c>
      <x:c r="L42" t="n">
        <x:v>286</x:v>
      </x:c>
      <x:c r="M42" t="n">
        <x:v>318</x:v>
      </x:c>
      <x:c r="N42" t="n">
        <x:v>215</x:v>
      </x:c>
      <x:c r="O42" t="n">
        <x:f>M42+N42</x:f>
        <x:v>533</x:v>
      </x:c>
      <x:c r="P42" s="14" t="n">
        <x:f>M42/1000000*VLOOKUP(H42,'Model Rates'!$A$2:$C$5,2,FALSE)+N42/1000000*VLOOKUP(H42,'Model Rates'!$A$2:$C$5,3,FALSE)</x:f>
        <x:v>0.0004712</x:v>
      </x:c>
      <x:c r="Q42" t="str">
        <x:v>v1.9</x:v>
      </x:c>
      <x:c r="R42" t="n">
        <x:v>1</x:v>
      </x:c>
      <x:c r="S42" s="1" t="b">
        <x:v>0</x:v>
      </x:c>
      <x:c r="T42" t="str">
        <x:v>review</x:v>
      </x:c>
      <x:c r="U42" s="16" t="n">
        <x:v>0.13</x:v>
      </x:c>
      <x:c r="V42" s="16" t="n">
        <x:v>0.796</x:v>
      </x:c>
      <x:c r="W42" s="16" t="n">
        <x:v>0.762</x:v>
      </x:c>
      <x:c r="X42" t="str">
        <x:v>none</x:v>
      </x:c>
      <x:c r="Y42" t="str">
        <x:v>rate_limit</x:v>
      </x:c>
    </x:row>
    <x:row r="43">
      <x:c r="A43" s="12" t="n">
        <x:v>46243.1653125</x:v>
      </x:c>
      <x:c r="B43" t="str">
        <x:v>tr_aa65b8513ada</x:v>
      </x:c>
      <x:c r="C43" t="str">
        <x:v>sp_bbd7b1d8b6</x:v>
      </x:c>
      <x:c r="D43" t="str">
        <x:v>req_d0054424d7c9</x:v>
      </x:c>
      <x:c r="E43" t="str">
        <x:v>search-assistant</x:v>
      </x:c>
      <x:c r="F43" t="str">
        <x:v>prod</x:v>
      </x:c>
      <x:c r="G43" t="str">
        <x:v>free</x:v>
      </x:c>
      <x:c r="H43" t="str">
        <x:v>gpt-5-mini</x:v>
      </x:c>
      <x:c r="I43" t="str">
        <x:v>chat_completion</x:v>
      </x:c>
      <x:c r="J43" t="str">
        <x:v>success</x:v>
      </x:c>
      <x:c r="K43" t="n">
        <x:v>1172</x:v>
      </x:c>
      <x:c r="L43" t="n">
        <x:v>334</x:v>
      </x:c>
      <x:c r="M43" t="n">
        <x:v>2560</x:v>
      </x:c>
      <x:c r="N43" t="n">
        <x:v>174</x:v>
      </x:c>
      <x:c r="O43" t="n">
        <x:f>M43+N43</x:f>
        <x:v>2734</x:v>
      </x:c>
      <x:c r="P43" s="14" t="n">
        <x:f>M43/1000000*VLOOKUP(H43,'Model Rates'!$A$2:$C$5,2,FALSE)+N43/1000000*VLOOKUP(H43,'Model Rates'!$A$2:$C$5,3,FALSE)</x:f>
        <x:v>0.0013024000000000002</x:v>
      </x:c>
      <x:c r="Q43" t="str">
        <x:v>v1.9</x:v>
      </x:c>
      <x:c r="R43" t="n">
        <x:v>0</x:v>
      </x:c>
      <x:c r="S43" s="1" t="b">
        <x:v>1</x:v>
      </x:c>
      <x:c r="T43" t="str">
        <x:v>blocked</x:v>
      </x:c>
      <x:c r="U43" s="16" t="n">
        <x:v>0.105</x:v>
      </x:c>
      <x:c r="V43" s="16" t="n">
        <x:v>0.85</x:v>
      </x:c>
      <x:c r="W43" s="16" t="n">
        <x:v>0.814</x:v>
      </x:c>
      <x:c r="X43" t="str">
        <x:v>none</x:v>
      </x:c>
      <x:c r="Y43" t="str"/>
    </x:row>
    <x:row r="44">
      <x:c r="A44" s="12" t="n">
        <x:v>46243.169224537036</x:v>
      </x:c>
      <x:c r="B44" t="str">
        <x:v>tr_f29ec75d138b</x:v>
      </x:c>
      <x:c r="C44" t="str">
        <x:v>sp_560cf05f2c</x:v>
      </x:c>
      <x:c r="D44" t="str">
        <x:v>req_c5f8bfb62773</x:v>
      </x:c>
      <x:c r="E44" t="str">
        <x:v>search-assistant</x:v>
      </x:c>
      <x:c r="F44" t="str">
        <x:v>prod</x:v>
      </x:c>
      <x:c r="G44" t="str">
        <x:v>free</x:v>
      </x:c>
      <x:c r="H44" t="str">
        <x:v>gpt-5</x:v>
      </x:c>
      <x:c r="I44" t="str">
        <x:v>tool_agent</x:v>
      </x:c>
      <x:c r="J44" t="str">
        <x:v>error</x:v>
      </x:c>
      <x:c r="K44" t="n">
        <x:v>2232</x:v>
      </x:c>
      <x:c r="L44" t="n">
        <x:v>490</x:v>
      </x:c>
      <x:c r="M44" t="n">
        <x:v>395</x:v>
      </x:c>
      <x:c r="N44" t="n">
        <x:v>242</x:v>
      </x:c>
      <x:c r="O44" t="n">
        <x:f>M44+N44</x:f>
        <x:v>637</x:v>
      </x:c>
      <x:c r="P44" s="14" t="n">
        <x:f>M44/1000000*VLOOKUP(H44,'Model Rates'!$A$2:$C$5,2,FALSE)+N44/1000000*VLOOKUP(H44,'Model Rates'!$A$2:$C$5,3,FALSE)</x:f>
        <x:v>0.0029137499999999997</x:v>
      </x:c>
      <x:c r="Q44" t="str">
        <x:v>v2.0</x:v>
      </x:c>
      <x:c r="R44" t="n">
        <x:v>2</x:v>
      </x:c>
      <x:c r="S44" s="1" t="b">
        <x:v>0</x:v>
      </x:c>
      <x:c r="T44" t="str">
        <x:v>pass</x:v>
      </x:c>
      <x:c r="U44" s="16" t="n">
        <x:v>0.148</x:v>
      </x:c>
      <x:c r="V44" s="16" t="n">
        <x:v>0.685</x:v>
      </x:c>
      <x:c r="W44" s="16" t="n">
        <x:v>0.602</x:v>
      </x:c>
      <x:c r="X44" t="str">
        <x:v>negative</x:v>
      </x:c>
      <x:c r="Y44" t="str">
        <x:v>rate_limit</x:v>
      </x:c>
    </x:row>
    <x:row r="45">
      <x:c r="A45" s="12" t="n">
        <x:v>46243.17564814815</x:v>
      </x:c>
      <x:c r="B45" t="str">
        <x:v>tr_b984c06a8223</x:v>
      </x:c>
      <x:c r="C45" t="str">
        <x:v>sp_9d7256cc67</x:v>
      </x:c>
      <x:c r="D45" t="str">
        <x:v>req_bccb9428d2aa</x:v>
      </x:c>
      <x:c r="E45" t="str">
        <x:v>agent-workflow</x:v>
      </x:c>
      <x:c r="F45" t="str">
        <x:v>prod</x:v>
      </x:c>
      <x:c r="G45" t="str">
        <x:v>free</x:v>
      </x:c>
      <x:c r="H45" t="str">
        <x:v>gpt-5-mini</x:v>
      </x:c>
      <x:c r="I45" t="str">
        <x:v>tool_agent</x:v>
      </x:c>
      <x:c r="J45" t="str">
        <x:v>success</x:v>
      </x:c>
      <x:c r="K45" t="n">
        <x:v>653</x:v>
      </x:c>
      <x:c r="L45" t="n">
        <x:v>155</x:v>
      </x:c>
      <x:c r="M45" t="n">
        <x:v>343</x:v>
      </x:c>
      <x:c r="N45" t="n">
        <x:v>116</x:v>
      </x:c>
      <x:c r="O45" t="n">
        <x:f>M45+N45</x:f>
        <x:v>459</x:v>
      </x:c>
      <x:c r="P45" s="14" t="n">
        <x:f>M45/1000000*VLOOKUP(H45,'Model Rates'!$A$2:$C$5,2,FALSE)+N45/1000000*VLOOKUP(H45,'Model Rates'!$A$2:$C$5,3,FALSE)</x:f>
        <x:v>0.00032280000000000004</x:v>
      </x:c>
      <x:c r="Q45" t="str">
        <x:v>v2.0</x:v>
      </x:c>
      <x:c r="R45" t="n">
        <x:v>0</x:v>
      </x:c>
      <x:c r="S45" s="1" t="b">
        <x:v>0</x:v>
      </x:c>
      <x:c r="T45" t="str">
        <x:v>pass</x:v>
      </x:c>
      <x:c r="U45" s="16" t="n">
        <x:v>0.055</x:v>
      </x:c>
      <x:c r="V45" s="16" t="n">
        <x:v>0.776</x:v>
      </x:c>
      <x:c r="W45" s="16" t="n">
        <x:v>0.849</x:v>
      </x:c>
      <x:c r="X45" t="str">
        <x:v>none</x:v>
      </x:c>
      <x:c r="Y45" t="str"/>
    </x:row>
    <x:row r="46">
      <x:c r="A46" s="12" t="n">
        <x:v>46243.17607638889</x:v>
      </x:c>
      <x:c r="B46" t="str">
        <x:v>tr_b4cee5946dd3</x:v>
      </x:c>
      <x:c r="C46" t="str">
        <x:v>sp_0357251040</x:v>
      </x:c>
      <x:c r="D46" t="str">
        <x:v>req_3e793ea35b4a</x:v>
      </x:c>
      <x:c r="E46" t="str">
        <x:v>search-assistant</x:v>
      </x:c>
      <x:c r="F46" t="str">
        <x:v>prod</x:v>
      </x:c>
      <x:c r="G46" t="str">
        <x:v>free</x:v>
      </x:c>
      <x:c r="H46" t="str">
        <x:v>claude-sonnet</x:v>
      </x:c>
      <x:c r="I46" t="str">
        <x:v>tool_agent</x:v>
      </x:c>
      <x:c r="J46" t="str">
        <x:v>success</x:v>
      </x:c>
      <x:c r="K46" t="n">
        <x:v>1479</x:v>
      </x:c>
      <x:c r="L46" t="n">
        <x:v>467</x:v>
      </x:c>
      <x:c r="M46" t="n">
        <x:v>930</x:v>
      </x:c>
      <x:c r="N46" t="n">
        <x:v>247</x:v>
      </x:c>
      <x:c r="O46" t="n">
        <x:f>M46+N46</x:f>
        <x:v>1177</x:v>
      </x:c>
      <x:c r="P46" s="14" t="n">
        <x:f>M46/1000000*VLOOKUP(H46,'Model Rates'!$A$2:$C$5,2,FALSE)+N46/1000000*VLOOKUP(H46,'Model Rates'!$A$2:$C$5,3,FALSE)</x:f>
        <x:v>0.006495</x:v>
      </x:c>
      <x:c r="Q46" t="str">
        <x:v>v2.0</x:v>
      </x:c>
      <x:c r="R46" t="n">
        <x:v>0</x:v>
      </x:c>
      <x:c r="S46" s="1" t="b">
        <x:v>0</x:v>
      </x:c>
      <x:c r="T46" t="str">
        <x:v>pass</x:v>
      </x:c>
      <x:c r="U46" s="16" t="n">
        <x:v>0.031</x:v>
      </x:c>
      <x:c r="V46" s="16" t="n">
        <x:v>0.912</x:v>
      </x:c>
      <x:c r="W46" s="16" t="n">
        <x:v>1</x:v>
      </x:c>
      <x:c r="X46" t="str">
        <x:v>none</x:v>
      </x:c>
      <x:c r="Y46" t="str"/>
    </x:row>
    <x:row r="47">
      <x:c r="A47" s="12" t="n">
        <x:v>46243.179085648146</x:v>
      </x:c>
      <x:c r="B47" t="str">
        <x:v>tr_8e89bf199d1b</x:v>
      </x:c>
      <x:c r="C47" t="str">
        <x:v>sp_ecbc9f965a</x:v>
      </x:c>
      <x:c r="D47" t="str">
        <x:v>req_4d2746e5eb60</x:v>
      </x:c>
      <x:c r="E47" t="str">
        <x:v>support-copilot</x:v>
      </x:c>
      <x:c r="F47" t="str">
        <x:v>prod</x:v>
      </x:c>
      <x:c r="G47" t="str">
        <x:v>free</x:v>
      </x:c>
      <x:c r="H47" t="str">
        <x:v>claude-sonnet</x:v>
      </x:c>
      <x:c r="I47" t="str">
        <x:v>chat_completion</x:v>
      </x:c>
      <x:c r="J47" t="str">
        <x:v>error</x:v>
      </x:c>
      <x:c r="K47" t="n">
        <x:v>3113</x:v>
      </x:c>
      <x:c r="L47" t="n">
        <x:v>472</x:v>
      </x:c>
      <x:c r="M47" t="n">
        <x:v>1167</x:v>
      </x:c>
      <x:c r="N47" t="n">
        <x:v>262</x:v>
      </x:c>
      <x:c r="O47" t="n">
        <x:f>M47+N47</x:f>
        <x:v>1429</x:v>
      </x:c>
      <x:c r="P47" s="14" t="n">
        <x:f>M47/1000000*VLOOKUP(H47,'Model Rates'!$A$2:$C$5,2,FALSE)+N47/1000000*VLOOKUP(H47,'Model Rates'!$A$2:$C$5,3,FALSE)</x:f>
        <x:v>0.007431</x:v>
      </x:c>
      <x:c r="Q47" t="str">
        <x:v>v1.8</x:v>
      </x:c>
      <x:c r="R47" t="n">
        <x:v>2</x:v>
      </x:c>
      <x:c r="S47" s="1" t="b">
        <x:v>1</x:v>
      </x:c>
      <x:c r="T47" t="str">
        <x:v>pass</x:v>
      </x:c>
      <x:c r="U47" s="16" t="n">
        <x:v>0.303</x:v>
      </x:c>
      <x:c r="V47" s="16" t="n">
        <x:v>0.79</x:v>
      </x:c>
      <x:c r="W47" s="16" t="n">
        <x:v>0.618</x:v>
      </x:c>
      <x:c r="X47" t="str">
        <x:v>positive</x:v>
      </x:c>
      <x:c r="Y47" t="str">
        <x:v>timeout</x:v>
      </x:c>
    </x:row>
    <x:row r="48">
      <x:c r="A48" s="12" t="n">
        <x:v>46243.18136574074</x:v>
      </x:c>
      <x:c r="B48" t="str">
        <x:v>tr_023c6796cd9a</x:v>
      </x:c>
      <x:c r="C48" t="str">
        <x:v>sp_cefd56dddb</x:v>
      </x:c>
      <x:c r="D48" t="str">
        <x:v>req_08370ef9dc2f</x:v>
      </x:c>
      <x:c r="E48" t="str">
        <x:v>search-assistant</x:v>
      </x:c>
      <x:c r="F48" t="str">
        <x:v>prod</x:v>
      </x:c>
      <x:c r="G48" t="str">
        <x:v>pro</x:v>
      </x:c>
      <x:c r="H48" t="str">
        <x:v>claude-sonnet</x:v>
      </x:c>
      <x:c r="I48" t="str">
        <x:v>summarization</x:v>
      </x:c>
      <x:c r="J48" t="str">
        <x:v>success</x:v>
      </x:c>
      <x:c r="K48" t="n">
        <x:v>1725</x:v>
      </x:c>
      <x:c r="L48" t="n">
        <x:v>505</x:v>
      </x:c>
      <x:c r="M48" t="n">
        <x:v>932</x:v>
      </x:c>
      <x:c r="N48" t="n">
        <x:v>162</x:v>
      </x:c>
      <x:c r="O48" t="n">
        <x:f>M48+N48</x:f>
        <x:v>1094</x:v>
      </x:c>
      <x:c r="P48" s="14" t="n">
        <x:f>M48/1000000*VLOOKUP(H48,'Model Rates'!$A$2:$C$5,2,FALSE)+N48/1000000*VLOOKUP(H48,'Model Rates'!$A$2:$C$5,3,FALSE)</x:f>
        <x:v>0.005226</x:v>
      </x:c>
      <x:c r="Q48" t="str">
        <x:v>v1.9</x:v>
      </x:c>
      <x:c r="R48" t="n">
        <x:v>0</x:v>
      </x:c>
      <x:c r="S48" s="1" t="b">
        <x:v>1</x:v>
      </x:c>
      <x:c r="T48" t="str">
        <x:v>pass</x:v>
      </x:c>
      <x:c r="U48" s="16" t="n">
        <x:v>0.044</x:v>
      </x:c>
      <x:c r="V48" s="16" t="n">
        <x:v>0.91</x:v>
      </x:c>
      <x:c r="W48" s="16" t="n">
        <x:v>0.699</x:v>
      </x:c>
      <x:c r="X48" t="str">
        <x:v>positive</x:v>
      </x:c>
      <x:c r="Y48" t="str"/>
    </x:row>
    <x:row r="49">
      <x:c r="A49" s="12" t="n">
        <x:v>46243.18386574074</x:v>
      </x:c>
      <x:c r="B49" t="str">
        <x:v>tr_535001e3b9c2</x:v>
      </x:c>
      <x:c r="C49" t="str">
        <x:v>sp_d6122351a8</x:v>
      </x:c>
      <x:c r="D49" t="str">
        <x:v>req_b8d57f3005ed</x:v>
      </x:c>
      <x:c r="E49" t="str">
        <x:v>doc-summarizer</x:v>
      </x:c>
      <x:c r="F49" t="str">
        <x:v>prod</x:v>
      </x:c>
      <x:c r="G49" t="str">
        <x:v>free</x:v>
      </x:c>
      <x:c r="H49" t="str">
        <x:v>gpt-5</x:v>
      </x:c>
      <x:c r="I49" t="str">
        <x:v>chat_completion</x:v>
      </x:c>
      <x:c r="J49" t="str">
        <x:v>success</x:v>
      </x:c>
      <x:c r="K49" t="n">
        <x:v>2704</x:v>
      </x:c>
      <x:c r="L49" t="n">
        <x:v>457</x:v>
      </x:c>
      <x:c r="M49" t="n">
        <x:v>363</x:v>
      </x:c>
      <x:c r="N49" t="n">
        <x:v>220</x:v>
      </x:c>
      <x:c r="O49" t="n">
        <x:f>M49+N49</x:f>
        <x:v>583</x:v>
      </x:c>
      <x:c r="P49" s="14" t="n">
        <x:f>M49/1000000*VLOOKUP(H49,'Model Rates'!$A$2:$C$5,2,FALSE)+N49/1000000*VLOOKUP(H49,'Model Rates'!$A$2:$C$5,3,FALSE)</x:f>
        <x:v>0.0026537500000000003</x:v>
      </x:c>
      <x:c r="Q49" t="str">
        <x:v>v1.9</x:v>
      </x:c>
      <x:c r="R49" t="n">
        <x:v>1</x:v>
      </x:c>
      <x:c r="S49" s="1" t="b">
        <x:v>1</x:v>
      </x:c>
      <x:c r="T49" t="str">
        <x:v>blocked</x:v>
      </x:c>
      <x:c r="U49" s="16" t="n">
        <x:v>0.05</x:v>
      </x:c>
      <x:c r="V49" s="16" t="n">
        <x:v>0.867</x:v>
      </x:c>
      <x:c r="W49" s="16" t="n">
        <x:v>0.893</x:v>
      </x:c>
      <x:c r="X49" t="str">
        <x:v>none</x:v>
      </x:c>
      <x:c r="Y49" t="str"/>
    </x:row>
    <x:row r="50">
      <x:c r="A50" s="12" t="n">
        <x:v>46243.18420138889</x:v>
      </x:c>
      <x:c r="B50" t="str">
        <x:v>tr_19a47f13230d</x:v>
      </x:c>
      <x:c r="C50" t="str">
        <x:v>sp_4f42d6a014</x:v>
      </x:c>
      <x:c r="D50" t="str">
        <x:v>req_83cba212730b</x:v>
      </x:c>
      <x:c r="E50" t="str">
        <x:v>search-assistant</x:v>
      </x:c>
      <x:c r="F50" t="str">
        <x:v>prod</x:v>
      </x:c>
      <x:c r="G50" t="str">
        <x:v>free</x:v>
      </x:c>
      <x:c r="H50" t="str">
        <x:v>gpt-5-mini</x:v>
      </x:c>
      <x:c r="I50" t="str">
        <x:v>chat_completion</x:v>
      </x:c>
      <x:c r="J50" t="str">
        <x:v>success</x:v>
      </x:c>
      <x:c r="K50" t="n">
        <x:v>1433</x:v>
      </x:c>
      <x:c r="L50" t="n">
        <x:v>148</x:v>
      </x:c>
      <x:c r="M50" t="n">
        <x:v>954</x:v>
      </x:c>
      <x:c r="N50" t="n">
        <x:v>249</x:v>
      </x:c>
      <x:c r="O50" t="n">
        <x:f>M50+N50</x:f>
        <x:v>1203</x:v>
      </x:c>
      <x:c r="P50" s="14" t="n">
        <x:f>M50/1000000*VLOOKUP(H50,'Model Rates'!$A$2:$C$5,2,FALSE)+N50/1000000*VLOOKUP(H50,'Model Rates'!$A$2:$C$5,3,FALSE)</x:f>
        <x:v>0.00078</x:v>
      </x:c>
      <x:c r="Q50" t="str">
        <x:v>v2.0</x:v>
      </x:c>
      <x:c r="R50" t="n">
        <x:v>1</x:v>
      </x:c>
      <x:c r="S50" s="1" t="b">
        <x:v>0</x:v>
      </x:c>
      <x:c r="T50" t="str">
        <x:v>pass</x:v>
      </x:c>
      <x:c r="U50" s="16" t="n">
        <x:v>0.015</x:v>
      </x:c>
      <x:c r="V50" s="16" t="n">
        <x:v>0.967</x:v>
      </x:c>
      <x:c r="W50" s="16" t="n">
        <x:v>0.85</x:v>
      </x:c>
      <x:c r="X50" t="str">
        <x:v>none</x:v>
      </x:c>
      <x:c r="Y50" t="str"/>
    </x:row>
    <x:row r="51">
      <x:c r="A51" s="12" t="n">
        <x:v>46243.18515046296</x:v>
      </x:c>
      <x:c r="B51" t="str">
        <x:v>tr_76600861a751</x:v>
      </x:c>
      <x:c r="C51" t="str">
        <x:v>sp_7fdc21ef78</x:v>
      </x:c>
      <x:c r="D51" t="str">
        <x:v>req_33c10c3d4d70</x:v>
      </x:c>
      <x:c r="E51" t="str">
        <x:v>search-assistant</x:v>
      </x:c>
      <x:c r="F51" t="str">
        <x:v>prod</x:v>
      </x:c>
      <x:c r="G51" t="str">
        <x:v>free</x:v>
      </x:c>
      <x:c r="H51" t="str">
        <x:v>gpt-5</x:v>
      </x:c>
      <x:c r="I51" t="str">
        <x:v>retrieval_answer</x:v>
      </x:c>
      <x:c r="J51" t="str">
        <x:v>success</x:v>
      </x:c>
      <x:c r="K51" t="n">
        <x:v>1960</x:v>
      </x:c>
      <x:c r="L51" t="n">
        <x:v>244</x:v>
      </x:c>
      <x:c r="M51" t="n">
        <x:v>1310</x:v>
      </x:c>
      <x:c r="N51" t="n">
        <x:v>389</x:v>
      </x:c>
      <x:c r="O51" t="n">
        <x:f>M51+N51</x:f>
        <x:v>1699</x:v>
      </x:c>
      <x:c r="P51" s="14" t="n">
        <x:f>M51/1000000*VLOOKUP(H51,'Model Rates'!$A$2:$C$5,2,FALSE)+N51/1000000*VLOOKUP(H51,'Model Rates'!$A$2:$C$5,3,FALSE)</x:f>
        <x:v>0.0055275</x:v>
      </x:c>
      <x:c r="Q51" t="str">
        <x:v>v1.9</x:v>
      </x:c>
      <x:c r="R51" t="n">
        <x:v>0</x:v>
      </x:c>
      <x:c r="S51" s="1" t="b">
        <x:v>0</x:v>
      </x:c>
      <x:c r="T51" t="str">
        <x:v>pass</x:v>
      </x:c>
      <x:c r="U51" s="16" t="n">
        <x:v>0.154</x:v>
      </x:c>
      <x:c r="V51" s="16" t="n">
        <x:v>1</x:v>
      </x:c>
      <x:c r="W51" s="16" t="n">
        <x:v>0.708</x:v>
      </x:c>
      <x:c r="X51" t="str">
        <x:v>negative</x:v>
      </x:c>
      <x:c r="Y51" t="str"/>
    </x:row>
    <x:row r="52">
      <x:c r="A52" s="12" t="n">
        <x:v>46243.187418981484</x:v>
      </x:c>
      <x:c r="B52" t="str">
        <x:v>tr_4ff700c3b0a3</x:v>
      </x:c>
      <x:c r="C52" t="str">
        <x:v>sp_6b3761fe05</x:v>
      </x:c>
      <x:c r="D52" t="str">
        <x:v>req_1e1994caa476</x:v>
      </x:c>
      <x:c r="E52" t="str">
        <x:v>agent-workflow</x:v>
      </x:c>
      <x:c r="F52" t="str">
        <x:v>prod</x:v>
      </x:c>
      <x:c r="G52" t="str">
        <x:v>free</x:v>
      </x:c>
      <x:c r="H52" t="str">
        <x:v>gpt-5-mini</x:v>
      </x:c>
      <x:c r="I52" t="str">
        <x:v>retrieval_answer</x:v>
      </x:c>
      <x:c r="J52" t="str">
        <x:v>success</x:v>
      </x:c>
      <x:c r="K52" t="n">
        <x:v>1293</x:v>
      </x:c>
      <x:c r="L52" t="n">
        <x:v>342</x:v>
      </x:c>
      <x:c r="M52" t="n">
        <x:v>1032</x:v>
      </x:c>
      <x:c r="N52" t="n">
        <x:v>273</x:v>
      </x:c>
      <x:c r="O52" t="n">
        <x:f>M52+N52</x:f>
        <x:v>1305</x:v>
      </x:c>
      <x:c r="P52" s="14" t="n">
        <x:f>M52/1000000*VLOOKUP(H52,'Model Rates'!$A$2:$C$5,2,FALSE)+N52/1000000*VLOOKUP(H52,'Model Rates'!$A$2:$C$5,3,FALSE)</x:f>
        <x:v>0.0008496</x:v>
      </x:c>
      <x:c r="Q52" t="str">
        <x:v>v1.9</x:v>
      </x:c>
      <x:c r="R52" t="n">
        <x:v>0</x:v>
      </x:c>
      <x:c r="S52" s="1" t="b">
        <x:v>0</x:v>
      </x:c>
      <x:c r="T52" t="str">
        <x:v>pass</x:v>
      </x:c>
      <x:c r="U52" s="16" t="n">
        <x:v>0.18</x:v>
      </x:c>
      <x:c r="V52" s="16" t="n">
        <x:v>0.77</x:v>
      </x:c>
      <x:c r="W52" s="16" t="n">
        <x:v>0.935</x:v>
      </x:c>
      <x:c r="X52" t="str">
        <x:v>negative</x:v>
      </x:c>
      <x:c r="Y52" t="str"/>
    </x:row>
    <x:row r="53">
      <x:c r="A53" s="12" t="n">
        <x:v>46243.187523148146</x:v>
      </x:c>
      <x:c r="B53" t="str">
        <x:v>tr_7aff1325c4bb</x:v>
      </x:c>
      <x:c r="C53" t="str">
        <x:v>sp_fce78f14cf</x:v>
      </x:c>
      <x:c r="D53" t="str">
        <x:v>req_fd1320583d8a</x:v>
      </x:c>
      <x:c r="E53" t="str">
        <x:v>search-assistant</x:v>
      </x:c>
      <x:c r="F53" t="str">
        <x:v>prod</x:v>
      </x:c>
      <x:c r="G53" t="str">
        <x:v>free</x:v>
      </x:c>
      <x:c r="H53" t="str">
        <x:v>gpt-5</x:v>
      </x:c>
      <x:c r="I53" t="str">
        <x:v>summarization</x:v>
      </x:c>
      <x:c r="J53" t="str">
        <x:v>success</x:v>
      </x:c>
      <x:c r="K53" t="n">
        <x:v>1205</x:v>
      </x:c>
      <x:c r="L53" t="n">
        <x:v>768</x:v>
      </x:c>
      <x:c r="M53" t="n">
        <x:v>956</x:v>
      </x:c>
      <x:c r="N53" t="n">
        <x:v>216</x:v>
      </x:c>
      <x:c r="O53" t="n">
        <x:f>M53+N53</x:f>
        <x:v>1172</x:v>
      </x:c>
      <x:c r="P53" s="14" t="n">
        <x:f>M53/1000000*VLOOKUP(H53,'Model Rates'!$A$2:$C$5,2,FALSE)+N53/1000000*VLOOKUP(H53,'Model Rates'!$A$2:$C$5,3,FALSE)</x:f>
        <x:v>0.0033550000000000003</x:v>
      </x:c>
      <x:c r="Q53" t="str">
        <x:v>v1.9</x:v>
      </x:c>
      <x:c r="R53" t="n">
        <x:v>0</x:v>
      </x:c>
      <x:c r="S53" s="1" t="b">
        <x:v>0</x:v>
      </x:c>
      <x:c r="T53" t="str">
        <x:v>review</x:v>
      </x:c>
      <x:c r="U53" s="16" t="n">
        <x:v>0</x:v>
      </x:c>
      <x:c r="V53" s="16" t="n">
        <x:v>0.682</x:v>
      </x:c>
      <x:c r="W53" s="16" t="n">
        <x:v>1</x:v>
      </x:c>
      <x:c r="X53" t="str">
        <x:v>none</x:v>
      </x:c>
      <x:c r="Y53" t="str"/>
    </x:row>
    <x:row r="54">
      <x:c r="A54" s="12" t="n">
        <x:v>46243.196863425925</x:v>
      </x:c>
      <x:c r="B54" t="str">
        <x:v>tr_803d328cee21</x:v>
      </x:c>
      <x:c r="C54" t="str">
        <x:v>sp_907572d384</x:v>
      </x:c>
      <x:c r="D54" t="str">
        <x:v>req_44058610270e</x:v>
      </x:c>
      <x:c r="E54" t="str">
        <x:v>support-copilot</x:v>
      </x:c>
      <x:c r="F54" t="str">
        <x:v>prod</x:v>
      </x:c>
      <x:c r="G54" t="str">
        <x:v>pro</x:v>
      </x:c>
      <x:c r="H54" t="str">
        <x:v>gpt-5-mini</x:v>
      </x:c>
      <x:c r="I54" t="str">
        <x:v>chat_completion</x:v>
      </x:c>
      <x:c r="J54" t="str">
        <x:v>error</x:v>
      </x:c>
      <x:c r="K54" t="n">
        <x:v>1188</x:v>
      </x:c>
      <x:c r="L54" t="n">
        <x:v>235</x:v>
      </x:c>
      <x:c r="M54" t="n">
        <x:v>718</x:v>
      </x:c>
      <x:c r="N54" t="n">
        <x:v>345</x:v>
      </x:c>
      <x:c r="O54" t="n">
        <x:f>M54+N54</x:f>
        <x:v>1063</x:v>
      </x:c>
      <x:c r="P54" s="14" t="n">
        <x:f>M54/1000000*VLOOKUP(H54,'Model Rates'!$A$2:$C$5,2,FALSE)+N54/1000000*VLOOKUP(H54,'Model Rates'!$A$2:$C$5,3,FALSE)</x:f>
        <x:v>0.0008392</x:v>
      </x:c>
      <x:c r="Q54" t="str">
        <x:v>v2.0</x:v>
      </x:c>
      <x:c r="R54" t="n">
        <x:v>0</x:v>
      </x:c>
      <x:c r="S54" s="1" t="b">
        <x:v>1</x:v>
      </x:c>
      <x:c r="T54" t="str">
        <x:v>pass</x:v>
      </x:c>
      <x:c r="U54" s="16" t="n">
        <x:v>0.24</x:v>
      </x:c>
      <x:c r="V54" s="16" t="n">
        <x:v>0.646</x:v>
      </x:c>
      <x:c r="W54" s="16" t="n">
        <x:v>0.446</x:v>
      </x:c>
      <x:c r="X54" t="str">
        <x:v>negative</x:v>
      </x:c>
      <x:c r="Y54" t="str">
        <x:v>rate_limit</x:v>
      </x:c>
    </x:row>
    <x:row r="55">
      <x:c r="A55" s="12" t="n">
        <x:v>46243.203194444446</x:v>
      </x:c>
      <x:c r="B55" t="str">
        <x:v>tr_541496fa661b</x:v>
      </x:c>
      <x:c r="C55" t="str">
        <x:v>sp_87d7766666</x:v>
      </x:c>
      <x:c r="D55" t="str">
        <x:v>req_3eacf1d6f808</x:v>
      </x:c>
      <x:c r="E55" t="str">
        <x:v>search-assistant</x:v>
      </x:c>
      <x:c r="F55" t="str">
        <x:v>prod</x:v>
      </x:c>
      <x:c r="G55" t="str">
        <x:v>free</x:v>
      </x:c>
      <x:c r="H55" t="str">
        <x:v>gpt-5-mini</x:v>
      </x:c>
      <x:c r="I55" t="str">
        <x:v>tool_agent</x:v>
      </x:c>
      <x:c r="J55" t="str">
        <x:v>error</x:v>
      </x:c>
      <x:c r="K55" t="n">
        <x:v>851</x:v>
      </x:c>
      <x:c r="L55" t="n">
        <x:v>134</x:v>
      </x:c>
      <x:c r="M55" t="n">
        <x:v>917</x:v>
      </x:c>
      <x:c r="N55" t="n">
        <x:v>149</x:v>
      </x:c>
      <x:c r="O55" t="n">
        <x:f>M55+N55</x:f>
        <x:v>1066</x:v>
      </x:c>
      <x:c r="P55" s="14" t="n">
        <x:f>M55/1000000*VLOOKUP(H55,'Model Rates'!$A$2:$C$5,2,FALSE)+N55/1000000*VLOOKUP(H55,'Model Rates'!$A$2:$C$5,3,FALSE)</x:f>
        <x:v>0.0006052</x:v>
      </x:c>
      <x:c r="Q55" t="str">
        <x:v>v1.8</x:v>
      </x:c>
      <x:c r="R55" t="n">
        <x:v>0</x:v>
      </x:c>
      <x:c r="S55" s="1" t="b">
        <x:v>0</x:v>
      </x:c>
      <x:c r="T55" t="str">
        <x:v>pass</x:v>
      </x:c>
      <x:c r="U55" s="16" t="n">
        <x:v>0.273</x:v>
      </x:c>
      <x:c r="V55" s="16" t="n">
        <x:v>0.646</x:v>
      </x:c>
      <x:c r="W55" s="16" t="n">
        <x:v>0.669</x:v>
      </x:c>
      <x:c r="X55" t="str">
        <x:v>none</x:v>
      </x:c>
      <x:c r="Y55" t="str">
        <x:v>tool_error</x:v>
      </x:c>
    </x:row>
    <x:row r="56">
      <x:c r="A56" s="12" t="n">
        <x:v>46243.20459490741</x:v>
      </x:c>
      <x:c r="B56" t="str">
        <x:v>tr_b7c2010a146f</x:v>
      </x:c>
      <x:c r="C56" t="str">
        <x:v>sp_446de19bae</x:v>
      </x:c>
      <x:c r="D56" t="str">
        <x:v>req_a4b24c54ec5e</x:v>
      </x:c>
      <x:c r="E56" t="str">
        <x:v>search-assistant</x:v>
      </x:c>
      <x:c r="F56" t="str">
        <x:v>prod</x:v>
      </x:c>
      <x:c r="G56" t="str">
        <x:v>pro</x:v>
      </x:c>
      <x:c r="H56" t="str">
        <x:v>gpt-5</x:v>
      </x:c>
      <x:c r="I56" t="str">
        <x:v>tool_agent</x:v>
      </x:c>
      <x:c r="J56" t="str">
        <x:v>success</x:v>
      </x:c>
      <x:c r="K56" t="n">
        <x:v>2623</x:v>
      </x:c>
      <x:c r="L56" t="n">
        <x:v>516</x:v>
      </x:c>
      <x:c r="M56" t="n">
        <x:v>930</x:v>
      </x:c>
      <x:c r="N56" t="n">
        <x:v>176</x:v>
      </x:c>
      <x:c r="O56" t="n">
        <x:f>M56+N56</x:f>
        <x:v>1106</x:v>
      </x:c>
      <x:c r="P56" s="14" t="n">
        <x:f>M56/1000000*VLOOKUP(H56,'Model Rates'!$A$2:$C$5,2,FALSE)+N56/1000000*VLOOKUP(H56,'Model Rates'!$A$2:$C$5,3,FALSE)</x:f>
        <x:v>0.0029224999999999998</x:v>
      </x:c>
      <x:c r="Q56" t="str">
        <x:v>v2.0</x:v>
      </x:c>
      <x:c r="R56" t="n">
        <x:v>1</x:v>
      </x:c>
      <x:c r="S56" s="1" t="b">
        <x:v>0</x:v>
      </x:c>
      <x:c r="T56" t="str">
        <x:v>pass</x:v>
      </x:c>
      <x:c r="U56" s="16" t="n">
        <x:v>0.139</x:v>
      </x:c>
      <x:c r="V56" s="16" t="n">
        <x:v>0.848</x:v>
      </x:c>
      <x:c r="W56" s="16" t="n">
        <x:v>0.993</x:v>
      </x:c>
      <x:c r="X56" t="str">
        <x:v>none</x:v>
      </x:c>
      <x:c r="Y56" t="str"/>
    </x:row>
    <x:row r="57">
      <x:c r="A57" s="12" t="n">
        <x:v>46243.207083333335</x:v>
      </x:c>
      <x:c r="B57" t="str">
        <x:v>tr_ef47f12981b1</x:v>
      </x:c>
      <x:c r="C57" t="str">
        <x:v>sp_fc55ed0cda</x:v>
      </x:c>
      <x:c r="D57" t="str">
        <x:v>req_fbfc201a9afb</x:v>
      </x:c>
      <x:c r="E57" t="str">
        <x:v>doc-summarizer</x:v>
      </x:c>
      <x:c r="F57" t="str">
        <x:v>prod</x:v>
      </x:c>
      <x:c r="G57" t="str">
        <x:v>enterprise</x:v>
      </x:c>
      <x:c r="H57" t="str">
        <x:v>claude-sonnet</x:v>
      </x:c>
      <x:c r="I57" t="str">
        <x:v>summarization</x:v>
      </x:c>
      <x:c r="J57" t="str">
        <x:v>success</x:v>
      </x:c>
      <x:c r="K57" t="n">
        <x:v>1323</x:v>
      </x:c>
      <x:c r="L57" t="n">
        <x:v>497</x:v>
      </x:c>
      <x:c r="M57" t="n">
        <x:v>2231</x:v>
      </x:c>
      <x:c r="N57" t="n">
        <x:v>396</x:v>
      </x:c>
      <x:c r="O57" t="n">
        <x:f>M57+N57</x:f>
        <x:v>2627</x:v>
      </x:c>
      <x:c r="P57" s="14" t="n">
        <x:f>M57/1000000*VLOOKUP(H57,'Model Rates'!$A$2:$C$5,2,FALSE)+N57/1000000*VLOOKUP(H57,'Model Rates'!$A$2:$C$5,3,FALSE)</x:f>
        <x:v>0.012632999999999998</x:v>
      </x:c>
      <x:c r="Q57" t="str">
        <x:v>v1.9</x:v>
      </x:c>
      <x:c r="R57" t="n">
        <x:v>0</x:v>
      </x:c>
      <x:c r="S57" s="1" t="b">
        <x:v>0</x:v>
      </x:c>
      <x:c r="T57" t="str">
        <x:v>review</x:v>
      </x:c>
      <x:c r="U57" s="16" t="n">
        <x:v>0.086</x:v>
      </x:c>
      <x:c r="V57" s="16" t="n">
        <x:v>0.899</x:v>
      </x:c>
      <x:c r="W57" s="16" t="n">
        <x:v>0.762</x:v>
      </x:c>
      <x:c r="X57" t="str">
        <x:v>none</x:v>
      </x:c>
      <x:c r="Y57" t="str"/>
    </x:row>
    <x:row r="58">
      <x:c r="A58" s="12" t="n">
        <x:v>46243.20748842593</x:v>
      </x:c>
      <x:c r="B58" t="str">
        <x:v>tr_17b8cf0f7e3e</x:v>
      </x:c>
      <x:c r="C58" t="str">
        <x:v>sp_028f9bdc6f</x:v>
      </x:c>
      <x:c r="D58" t="str">
        <x:v>req_f6157cc47138</x:v>
      </x:c>
      <x:c r="E58" t="str">
        <x:v>support-copilot</x:v>
      </x:c>
      <x:c r="F58" t="str">
        <x:v>prod</x:v>
      </x:c>
      <x:c r="G58" t="str">
        <x:v>free</x:v>
      </x:c>
      <x:c r="H58" t="str">
        <x:v>gpt-5</x:v>
      </x:c>
      <x:c r="I58" t="str">
        <x:v>summarization</x:v>
      </x:c>
      <x:c r="J58" t="str">
        <x:v>success</x:v>
      </x:c>
      <x:c r="K58" t="n">
        <x:v>1198</x:v>
      </x:c>
      <x:c r="L58" t="n">
        <x:v>80</x:v>
      </x:c>
      <x:c r="M58" t="n">
        <x:v>1170</x:v>
      </x:c>
      <x:c r="N58" t="n">
        <x:v>120</x:v>
      </x:c>
      <x:c r="O58" t="n">
        <x:f>M58+N58</x:f>
        <x:v>1290</x:v>
      </x:c>
      <x:c r="P58" s="14" t="n">
        <x:f>M58/1000000*VLOOKUP(H58,'Model Rates'!$A$2:$C$5,2,FALSE)+N58/1000000*VLOOKUP(H58,'Model Rates'!$A$2:$C$5,3,FALSE)</x:f>
        <x:v>0.0026625</x:v>
      </x:c>
      <x:c r="Q58" t="str">
        <x:v>v1.9</x:v>
      </x:c>
      <x:c r="R58" t="n">
        <x:v>0</x:v>
      </x:c>
      <x:c r="S58" s="1" t="b">
        <x:v>1</x:v>
      </x:c>
      <x:c r="T58" t="str">
        <x:v>pass</x:v>
      </x:c>
      <x:c r="U58" s="16" t="n">
        <x:v>0.033</x:v>
      </x:c>
      <x:c r="V58" s="16" t="n">
        <x:v>0.841</x:v>
      </x:c>
      <x:c r="W58" s="16" t="n">
        <x:v>0.901</x:v>
      </x:c>
      <x:c r="X58" t="str">
        <x:v>none</x:v>
      </x:c>
      <x:c r="Y58" t="str"/>
    </x:row>
    <x:row r="59">
      <x:c r="A59" s="12" t="n">
        <x:v>46243.20961805555</x:v>
      </x:c>
      <x:c r="B59" t="str">
        <x:v>tr_5f4a905e2c88</x:v>
      </x:c>
      <x:c r="C59" t="str">
        <x:v>sp_e2cd6917d2</x:v>
      </x:c>
      <x:c r="D59" t="str">
        <x:v>req_ffdc040faad2</x:v>
      </x:c>
      <x:c r="E59" t="str">
        <x:v>doc-summarizer</x:v>
      </x:c>
      <x:c r="F59" t="str">
        <x:v>prod</x:v>
      </x:c>
      <x:c r="G59" t="str">
        <x:v>pro</x:v>
      </x:c>
      <x:c r="H59" t="str">
        <x:v>gpt-5-mini</x:v>
      </x:c>
      <x:c r="I59" t="str">
        <x:v>summarization</x:v>
      </x:c>
      <x:c r="J59" t="str">
        <x:v>error</x:v>
      </x:c>
      <x:c r="K59" t="n">
        <x:v>1336</x:v>
      </x:c>
      <x:c r="L59" t="n">
        <x:v>224</x:v>
      </x:c>
      <x:c r="M59" t="n">
        <x:v>1067</x:v>
      </x:c>
      <x:c r="N59" t="n">
        <x:v>306</x:v>
      </x:c>
      <x:c r="O59" t="n">
        <x:f>M59+N59</x:f>
        <x:v>1373</x:v>
      </x:c>
      <x:c r="P59" s="14" t="n">
        <x:f>M59/1000000*VLOOKUP(H59,'Model Rates'!$A$2:$C$5,2,FALSE)+N59/1000000*VLOOKUP(H59,'Model Rates'!$A$2:$C$5,3,FALSE)</x:f>
        <x:v>0.0009164000000000002</x:v>
      </x:c>
      <x:c r="Q59" t="str">
        <x:v>v2.0</x:v>
      </x:c>
      <x:c r="R59" t="n">
        <x:v>0</x:v>
      </x:c>
      <x:c r="S59" s="1" t="b">
        <x:v>0</x:v>
      </x:c>
      <x:c r="T59" t="str">
        <x:v>blocked</x:v>
      </x:c>
      <x:c r="U59" s="16" t="n">
        <x:v>0.226</x:v>
      </x:c>
      <x:c r="V59" s="16" t="n">
        <x:v>0.568</x:v>
      </x:c>
      <x:c r="W59" s="16" t="n">
        <x:v>0.469</x:v>
      </x:c>
      <x:c r="X59" t="str">
        <x:v>none</x:v>
      </x:c>
      <x:c r="Y59" t="str">
        <x:v>provider_5xx</x:v>
      </x:c>
    </x:row>
    <x:row r="60">
      <x:c r="A60" s="12" t="n">
        <x:v>46243.21710648148</x:v>
      </x:c>
      <x:c r="B60" t="str">
        <x:v>tr_ff016e4152b6</x:v>
      </x:c>
      <x:c r="C60" t="str">
        <x:v>sp_e1a8509813</x:v>
      </x:c>
      <x:c r="D60" t="str">
        <x:v>req_93c981c29369</x:v>
      </x:c>
      <x:c r="E60" t="str">
        <x:v>doc-summarizer</x:v>
      </x:c>
      <x:c r="F60" t="str">
        <x:v>prod</x:v>
      </x:c>
      <x:c r="G60" t="str">
        <x:v>pro</x:v>
      </x:c>
      <x:c r="H60" t="str">
        <x:v>gpt-5-mini</x:v>
      </x:c>
      <x:c r="I60" t="str">
        <x:v>retrieval_answer</x:v>
      </x:c>
      <x:c r="J60" t="str">
        <x:v>success</x:v>
      </x:c>
      <x:c r="K60" t="n">
        <x:v>1771</x:v>
      </x:c>
      <x:c r="L60" t="n">
        <x:v>237</x:v>
      </x:c>
      <x:c r="M60" t="n">
        <x:v>479</x:v>
      </x:c>
      <x:c r="N60" t="n">
        <x:v>182</x:v>
      </x:c>
      <x:c r="O60" t="n">
        <x:f>M60+N60</x:f>
        <x:v>661</x:v>
      </x:c>
      <x:c r="P60" s="14" t="n">
        <x:f>M60/1000000*VLOOKUP(H60,'Model Rates'!$A$2:$C$5,2,FALSE)+N60/1000000*VLOOKUP(H60,'Model Rates'!$A$2:$C$5,3,FALSE)</x:f>
        <x:v>0.0004828</x:v>
      </x:c>
      <x:c r="Q60" t="str">
        <x:v>v1.9</x:v>
      </x:c>
      <x:c r="R60" t="n">
        <x:v>1</x:v>
      </x:c>
      <x:c r="S60" s="1" t="b">
        <x:v>0</x:v>
      </x:c>
      <x:c r="T60" t="str">
        <x:v>pass</x:v>
      </x:c>
      <x:c r="U60" s="16" t="n">
        <x:v>0.054</x:v>
      </x:c>
      <x:c r="V60" s="16" t="n">
        <x:v>1</x:v>
      </x:c>
      <x:c r="W60" s="16" t="n">
        <x:v>0.892</x:v>
      </x:c>
      <x:c r="X60" t="str">
        <x:v>negative</x:v>
      </x:c>
      <x:c r="Y60" t="str"/>
    </x:row>
    <x:row r="61">
      <x:c r="A61" s="12" t="n">
        <x:v>46243.223125</x:v>
      </x:c>
      <x:c r="B61" t="str">
        <x:v>tr_d42537a931b4</x:v>
      </x:c>
      <x:c r="C61" t="str">
        <x:v>sp_916fd36c04</x:v>
      </x:c>
      <x:c r="D61" t="str">
        <x:v>req_2b0c1ccae544</x:v>
      </x:c>
      <x:c r="E61" t="str">
        <x:v>agent-workflow</x:v>
      </x:c>
      <x:c r="F61" t="str">
        <x:v>prod</x:v>
      </x:c>
      <x:c r="G61" t="str">
        <x:v>free</x:v>
      </x:c>
      <x:c r="H61" t="str">
        <x:v>claude-sonnet</x:v>
      </x:c>
      <x:c r="I61" t="str">
        <x:v>retrieval_answer</x:v>
      </x:c>
      <x:c r="J61" t="str">
        <x:v>success</x:v>
      </x:c>
      <x:c r="K61" t="n">
        <x:v>1996</x:v>
      </x:c>
      <x:c r="L61" t="n">
        <x:v>418</x:v>
      </x:c>
      <x:c r="M61" t="n">
        <x:v>970</x:v>
      </x:c>
      <x:c r="N61" t="n">
        <x:v>145</x:v>
      </x:c>
      <x:c r="O61" t="n">
        <x:f>M61+N61</x:f>
        <x:v>1115</x:v>
      </x:c>
      <x:c r="P61" s="14" t="n">
        <x:f>M61/1000000*VLOOKUP(H61,'Model Rates'!$A$2:$C$5,2,FALSE)+N61/1000000*VLOOKUP(H61,'Model Rates'!$A$2:$C$5,3,FALSE)</x:f>
        <x:v>0.005085</x:v>
      </x:c>
      <x:c r="Q61" t="str">
        <x:v>v2.0</x:v>
      </x:c>
      <x:c r="R61" t="n">
        <x:v>0</x:v>
      </x:c>
      <x:c r="S61" s="1" t="b">
        <x:v>1</x:v>
      </x:c>
      <x:c r="T61" t="str">
        <x:v>pass</x:v>
      </x:c>
      <x:c r="U61" s="16" t="n">
        <x:v>0.09</x:v>
      </x:c>
      <x:c r="V61" s="16" t="n">
        <x:v>0.93</x:v>
      </x:c>
      <x:c r="W61" s="16" t="n">
        <x:v>0.676</x:v>
      </x:c>
      <x:c r="X61" t="str">
        <x:v>none</x:v>
      </x:c>
      <x:c r="Y61" t="str"/>
    </x:row>
    <x:row r="62">
      <x:c r="A62" s="12" t="n">
        <x:v>46243.22353009259</x:v>
      </x:c>
      <x:c r="B62" t="str">
        <x:v>tr_556403155001</x:v>
      </x:c>
      <x:c r="C62" t="str">
        <x:v>sp_afe16319d2</x:v>
      </x:c>
      <x:c r="D62" t="str">
        <x:v>req_01cd9b607024</x:v>
      </x:c>
      <x:c r="E62" t="str">
        <x:v>search-assistant</x:v>
      </x:c>
      <x:c r="F62" t="str">
        <x:v>staging</x:v>
      </x:c>
      <x:c r="G62" t="str">
        <x:v>pro</x:v>
      </x:c>
      <x:c r="H62" t="str">
        <x:v>gpt-5-mini</x:v>
      </x:c>
      <x:c r="I62" t="str">
        <x:v>chat_completion</x:v>
      </x:c>
      <x:c r="J62" t="str">
        <x:v>error</x:v>
      </x:c>
      <x:c r="K62" t="n">
        <x:v>1149</x:v>
      </x:c>
      <x:c r="L62" t="n">
        <x:v>307</x:v>
      </x:c>
      <x:c r="M62" t="n">
        <x:v>601</x:v>
      </x:c>
      <x:c r="N62" t="n">
        <x:v>335</x:v>
      </x:c>
      <x:c r="O62" t="n">
        <x:f>M62+N62</x:f>
        <x:v>936</x:v>
      </x:c>
      <x:c r="P62" s="14" t="n">
        <x:f>M62/1000000*VLOOKUP(H62,'Model Rates'!$A$2:$C$5,2,FALSE)+N62/1000000*VLOOKUP(H62,'Model Rates'!$A$2:$C$5,3,FALSE)</x:f>
        <x:v>0.0007764</x:v>
      </x:c>
      <x:c r="Q62" t="str">
        <x:v>v2.0</x:v>
      </x:c>
      <x:c r="R62" t="n">
        <x:v>0</x:v>
      </x:c>
      <x:c r="S62" s="1" t="b">
        <x:v>0</x:v>
      </x:c>
      <x:c r="T62" t="str">
        <x:v>pass</x:v>
      </x:c>
      <x:c r="U62" s="16" t="n">
        <x:v>0.172</x:v>
      </x:c>
      <x:c r="V62" s="16" t="n">
        <x:v>0.77</x:v>
      </x:c>
      <x:c r="W62" s="16" t="n">
        <x:v>0.614</x:v>
      </x:c>
      <x:c r="X62" t="str">
        <x:v>none</x:v>
      </x:c>
      <x:c r="Y62" t="str">
        <x:v>timeout</x:v>
      </x:c>
    </x:row>
    <x:row r="63">
      <x:c r="A63" s="12" t="n">
        <x:v>46243.22503472222</x:v>
      </x:c>
      <x:c r="B63" t="str">
        <x:v>tr_3fd7ea533edb</x:v>
      </x:c>
      <x:c r="C63" t="str">
        <x:v>sp_f552c212e4</x:v>
      </x:c>
      <x:c r="D63" t="str">
        <x:v>req_1f6da5896a30</x:v>
      </x:c>
      <x:c r="E63" t="str">
        <x:v>agent-workflow</x:v>
      </x:c>
      <x:c r="F63" t="str">
        <x:v>staging</x:v>
      </x:c>
      <x:c r="G63" t="str">
        <x:v>pro</x:v>
      </x:c>
      <x:c r="H63" t="str">
        <x:v>gpt-5-mini</x:v>
      </x:c>
      <x:c r="I63" t="str">
        <x:v>tool_agent</x:v>
      </x:c>
      <x:c r="J63" t="str">
        <x:v>success</x:v>
      </x:c>
      <x:c r="K63" t="n">
        <x:v>1174</x:v>
      </x:c>
      <x:c r="L63" t="n">
        <x:v>254</x:v>
      </x:c>
      <x:c r="M63" t="n">
        <x:v>1221</x:v>
      </x:c>
      <x:c r="N63" t="n">
        <x:v>448</x:v>
      </x:c>
      <x:c r="O63" t="n">
        <x:f>M63+N63</x:f>
        <x:v>1669</x:v>
      </x:c>
      <x:c r="P63" s="14" t="n">
        <x:f>M63/1000000*VLOOKUP(H63,'Model Rates'!$A$2:$C$5,2,FALSE)+N63/1000000*VLOOKUP(H63,'Model Rates'!$A$2:$C$5,3,FALSE)</x:f>
        <x:v>0.0012052</x:v>
      </x:c>
      <x:c r="Q63" t="str">
        <x:v>v1.8</x:v>
      </x:c>
      <x:c r="R63" t="n">
        <x:v>0</x:v>
      </x:c>
      <x:c r="S63" s="1" t="b">
        <x:v>0</x:v>
      </x:c>
      <x:c r="T63" t="str">
        <x:v>pass</x:v>
      </x:c>
      <x:c r="U63" s="16" t="n">
        <x:v>0.052</x:v>
      </x:c>
      <x:c r="V63" s="16" t="n">
        <x:v>0.858</x:v>
      </x:c>
      <x:c r="W63" s="16" t="n">
        <x:v>0.914</x:v>
      </x:c>
      <x:c r="X63" t="str">
        <x:v>none</x:v>
      </x:c>
      <x:c r="Y63" t="str"/>
    </x:row>
    <x:row r="64">
      <x:c r="A64" s="12" t="n">
        <x:v>46243.225810185184</x:v>
      </x:c>
      <x:c r="B64" t="str">
        <x:v>tr_42b9dd64f11b</x:v>
      </x:c>
      <x:c r="C64" t="str">
        <x:v>sp_a264170286</x:v>
      </x:c>
      <x:c r="D64" t="str">
        <x:v>req_5ed5a4a5b162</x:v>
      </x:c>
      <x:c r="E64" t="str">
        <x:v>support-copilot</x:v>
      </x:c>
      <x:c r="F64" t="str">
        <x:v>staging</x:v>
      </x:c>
      <x:c r="G64" t="str">
        <x:v>pro</x:v>
      </x:c>
      <x:c r="H64" t="str">
        <x:v>gpt-5</x:v>
      </x:c>
      <x:c r="I64" t="str">
        <x:v>summarization</x:v>
      </x:c>
      <x:c r="J64" t="str">
        <x:v>success</x:v>
      </x:c>
      <x:c r="K64" t="n">
        <x:v>883</x:v>
      </x:c>
      <x:c r="L64" t="n">
        <x:v>390</x:v>
      </x:c>
      <x:c r="M64" t="n">
        <x:v>527</x:v>
      </x:c>
      <x:c r="N64" t="n">
        <x:v>611</x:v>
      </x:c>
      <x:c r="O64" t="n">
        <x:f>M64+N64</x:f>
        <x:v>1138</x:v>
      </x:c>
      <x:c r="P64" s="14" t="n">
        <x:f>M64/1000000*VLOOKUP(H64,'Model Rates'!$A$2:$C$5,2,FALSE)+N64/1000000*VLOOKUP(H64,'Model Rates'!$A$2:$C$5,3,FALSE)</x:f>
        <x:v>0.0067687500000000005</x:v>
      </x:c>
      <x:c r="Q64" t="str">
        <x:v>v1.9</x:v>
      </x:c>
      <x:c r="R64" t="n">
        <x:v>0</x:v>
      </x:c>
      <x:c r="S64" s="1" t="b">
        <x:v>0</x:v>
      </x:c>
      <x:c r="T64" t="str">
        <x:v>pass</x:v>
      </x:c>
      <x:c r="U64" s="16" t="n">
        <x:v>0.084</x:v>
      </x:c>
      <x:c r="V64" s="16" t="n">
        <x:v>0.737</x:v>
      </x:c>
      <x:c r="W64" s="16" t="n">
        <x:v>1</x:v>
      </x:c>
      <x:c r="X64" t="str">
        <x:v>none</x:v>
      </x:c>
      <x:c r="Y64" t="str"/>
    </x:row>
    <x:row r="65">
      <x:c r="A65" s="12" t="n">
        <x:v>46243.226111111115</x:v>
      </x:c>
      <x:c r="B65" t="str">
        <x:v>tr_a9aad5c106e9</x:v>
      </x:c>
      <x:c r="C65" t="str">
        <x:v>sp_b712dae744</x:v>
      </x:c>
      <x:c r="D65" t="str">
        <x:v>req_05b9927bfc00</x:v>
      </x:c>
      <x:c r="E65" t="str">
        <x:v>doc-summarizer</x:v>
      </x:c>
      <x:c r="F65" t="str">
        <x:v>prod</x:v>
      </x:c>
      <x:c r="G65" t="str">
        <x:v>free</x:v>
      </x:c>
      <x:c r="H65" t="str">
        <x:v>gpt-5</x:v>
      </x:c>
      <x:c r="I65" t="str">
        <x:v>tool_agent</x:v>
      </x:c>
      <x:c r="J65" t="str">
        <x:v>error</x:v>
      </x:c>
      <x:c r="K65" t="n">
        <x:v>2592</x:v>
      </x:c>
      <x:c r="L65" t="n">
        <x:v>563</x:v>
      </x:c>
      <x:c r="M65" t="n">
        <x:v>428</x:v>
      </x:c>
      <x:c r="N65" t="n">
        <x:v>132</x:v>
      </x:c>
      <x:c r="O65" t="n">
        <x:f>M65+N65</x:f>
        <x:v>560</x:v>
      </x:c>
      <x:c r="P65" s="14" t="n">
        <x:f>M65/1000000*VLOOKUP(H65,'Model Rates'!$A$2:$C$5,2,FALSE)+N65/1000000*VLOOKUP(H65,'Model Rates'!$A$2:$C$5,3,FALSE)</x:f>
        <x:v>0.0018549999999999999</x:v>
      </x:c>
      <x:c r="Q65" t="str">
        <x:v>v1.9</x:v>
      </x:c>
      <x:c r="R65" t="n">
        <x:v>1</x:v>
      </x:c>
      <x:c r="S65" s="1" t="b">
        <x:v>0</x:v>
      </x:c>
      <x:c r="T65" t="str">
        <x:v>blocked</x:v>
      </x:c>
      <x:c r="U65" s="16" t="n">
        <x:v>0.346</x:v>
      </x:c>
      <x:c r="V65" s="16" t="n">
        <x:v>0.777</x:v>
      </x:c>
      <x:c r="W65" s="16" t="n">
        <x:v>0.809</x:v>
      </x:c>
      <x:c r="X65" t="str">
        <x:v>none</x:v>
      </x:c>
      <x:c r="Y65" t="str">
        <x:v>timeout</x:v>
      </x:c>
    </x:row>
    <x:row r="66">
      <x:c r="A66" s="12" t="n">
        <x:v>46243.22690972222</x:v>
      </x:c>
      <x:c r="B66" t="str">
        <x:v>tr_282a1981e6e4</x:v>
      </x:c>
      <x:c r="C66" t="str">
        <x:v>sp_8c7656f8c5</x:v>
      </x:c>
      <x:c r="D66" t="str">
        <x:v>req_ee5ff78408c8</x:v>
      </x:c>
      <x:c r="E66" t="str">
        <x:v>search-assistant</x:v>
      </x:c>
      <x:c r="F66" t="str">
        <x:v>prod</x:v>
      </x:c>
      <x:c r="G66" t="str">
        <x:v>pro</x:v>
      </x:c>
      <x:c r="H66" t="str">
        <x:v>gpt-5-mini</x:v>
      </x:c>
      <x:c r="I66" t="str">
        <x:v>retrieval_answer</x:v>
      </x:c>
      <x:c r="J66" t="str">
        <x:v>success</x:v>
      </x:c>
      <x:c r="K66" t="n">
        <x:v>1058</x:v>
      </x:c>
      <x:c r="L66" t="n">
        <x:v>113</x:v>
      </x:c>
      <x:c r="M66" t="n">
        <x:v>979</x:v>
      </x:c>
      <x:c r="N66" t="n">
        <x:v>192</x:v>
      </x:c>
      <x:c r="O66" t="n">
        <x:f>M66+N66</x:f>
        <x:v>1171</x:v>
      </x:c>
      <x:c r="P66" s="14" t="n">
        <x:f>M66/1000000*VLOOKUP(H66,'Model Rates'!$A$2:$C$5,2,FALSE)+N66/1000000*VLOOKUP(H66,'Model Rates'!$A$2:$C$5,3,FALSE)</x:f>
        <x:v>0.0006988000000000001</x:v>
      </x:c>
      <x:c r="Q66" t="str">
        <x:v>v1.8</x:v>
      </x:c>
      <x:c r="R66" t="n">
        <x:v>0</x:v>
      </x:c>
      <x:c r="S66" s="1" t="b">
        <x:v>0</x:v>
      </x:c>
      <x:c r="T66" t="str">
        <x:v>pass</x:v>
      </x:c>
      <x:c r="U66" s="16" t="n">
        <x:v>0.122</x:v>
      </x:c>
      <x:c r="V66" s="16" t="n">
        <x:v>0.922</x:v>
      </x:c>
      <x:c r="W66" s="16" t="n">
        <x:v>0.972</x:v>
      </x:c>
      <x:c r="X66" t="str">
        <x:v>none</x:v>
      </x:c>
      <x:c r="Y66" t="str"/>
    </x:row>
    <x:row r="67">
      <x:c r="A67" s="12" t="n">
        <x:v>46243.23324074074</x:v>
      </x:c>
      <x:c r="B67" t="str">
        <x:v>tr_3941d58dde5a</x:v>
      </x:c>
      <x:c r="C67" t="str">
        <x:v>sp_73e93b0514</x:v>
      </x:c>
      <x:c r="D67" t="str">
        <x:v>req_8be82ecc537b</x:v>
      </x:c>
      <x:c r="E67" t="str">
        <x:v>doc-summarizer</x:v>
      </x:c>
      <x:c r="F67" t="str">
        <x:v>prod</x:v>
      </x:c>
      <x:c r="G67" t="str">
        <x:v>free</x:v>
      </x:c>
      <x:c r="H67" t="str">
        <x:v>gpt-5-mini</x:v>
      </x:c>
      <x:c r="I67" t="str">
        <x:v>tool_agent</x:v>
      </x:c>
      <x:c r="J67" t="str">
        <x:v>success</x:v>
      </x:c>
      <x:c r="K67" t="n">
        <x:v>647</x:v>
      </x:c>
      <x:c r="L67" t="n">
        <x:v>182</x:v>
      </x:c>
      <x:c r="M67" t="n">
        <x:v>1785</x:v>
      </x:c>
      <x:c r="N67" t="n">
        <x:v>284</x:v>
      </x:c>
      <x:c r="O67" t="n">
        <x:f>M67+N67</x:f>
        <x:v>2069</x:v>
      </x:c>
      <x:c r="P67" s="14" t="n">
        <x:f>M67/1000000*VLOOKUP(H67,'Model Rates'!$A$2:$C$5,2,FALSE)+N67/1000000*VLOOKUP(H67,'Model Rates'!$A$2:$C$5,3,FALSE)</x:f>
        <x:v>0.0011684</x:v>
      </x:c>
      <x:c r="Q67" t="str">
        <x:v>v1.8</x:v>
      </x:c>
      <x:c r="R67" t="n">
        <x:v>0</x:v>
      </x:c>
      <x:c r="S67" s="1" t="b">
        <x:v>0</x:v>
      </x:c>
      <x:c r="T67" t="str">
        <x:v>blocked</x:v>
      </x:c>
      <x:c r="U67" s="16" t="n">
        <x:v>0.085</x:v>
      </x:c>
      <x:c r="V67" s="16" t="n">
        <x:v>0.83</x:v>
      </x:c>
      <x:c r="W67" s="16" t="n">
        <x:v>0.869</x:v>
      </x:c>
      <x:c r="X67" t="str">
        <x:v>none</x:v>
      </x:c>
      <x:c r="Y67" t="str"/>
    </x:row>
    <x:row r="68">
      <x:c r="A68" s="12" t="n">
        <x:v>46243.23483796296</x:v>
      </x:c>
      <x:c r="B68" t="str">
        <x:v>tr_8db1db6b4da3</x:v>
      </x:c>
      <x:c r="C68" t="str">
        <x:v>sp_e2931e6ead</x:v>
      </x:c>
      <x:c r="D68" t="str">
        <x:v>req_89d90476b0bc</x:v>
      </x:c>
      <x:c r="E68" t="str">
        <x:v>doc-summarizer</x:v>
      </x:c>
      <x:c r="F68" t="str">
        <x:v>prod</x:v>
      </x:c>
      <x:c r="G68" t="str">
        <x:v>pro</x:v>
      </x:c>
      <x:c r="H68" t="str">
        <x:v>gpt-5-mini</x:v>
      </x:c>
      <x:c r="I68" t="str">
        <x:v>summarization</x:v>
      </x:c>
      <x:c r="J68" t="str">
        <x:v>success</x:v>
      </x:c>
      <x:c r="K68" t="n">
        <x:v>990</x:v>
      </x:c>
      <x:c r="L68" t="n">
        <x:v>263</x:v>
      </x:c>
      <x:c r="M68" t="n">
        <x:v>879</x:v>
      </x:c>
      <x:c r="N68" t="n">
        <x:v>139</x:v>
      </x:c>
      <x:c r="O68" t="n">
        <x:f>M68+N68</x:f>
        <x:v>1018</x:v>
      </x:c>
      <x:c r="P68" s="14" t="n">
        <x:f>M68/1000000*VLOOKUP(H68,'Model Rates'!$A$2:$C$5,2,FALSE)+N68/1000000*VLOOKUP(H68,'Model Rates'!$A$2:$C$5,3,FALSE)</x:f>
        <x:v>0.0005740000000000001</x:v>
      </x:c>
      <x:c r="Q68" t="str">
        <x:v>v1.9</x:v>
      </x:c>
      <x:c r="R68" t="n">
        <x:v>0</x:v>
      </x:c>
      <x:c r="S68" s="1" t="b">
        <x:v>1</x:v>
      </x:c>
      <x:c r="T68" t="str">
        <x:v>pass</x:v>
      </x:c>
      <x:c r="U68" s="16" t="n">
        <x:v>0</x:v>
      </x:c>
      <x:c r="V68" s="16" t="n">
        <x:v>0.812</x:v>
      </x:c>
      <x:c r="W68" s="16" t="n">
        <x:v>0.83</x:v>
      </x:c>
      <x:c r="X68" t="str">
        <x:v>none</x:v>
      </x:c>
      <x:c r="Y68" t="str"/>
    </x:row>
    <x:row r="69">
      <x:c r="A69" s="12" t="n">
        <x:v>46243.238171296296</x:v>
      </x:c>
      <x:c r="B69" t="str">
        <x:v>tr_af9f5b6e1e9d</x:v>
      </x:c>
      <x:c r="C69" t="str">
        <x:v>sp_d6b7c53b2f</x:v>
      </x:c>
      <x:c r="D69" t="str">
        <x:v>req_b4617c4d29a5</x:v>
      </x:c>
      <x:c r="E69" t="str">
        <x:v>doc-summarizer</x:v>
      </x:c>
      <x:c r="F69" t="str">
        <x:v>prod</x:v>
      </x:c>
      <x:c r="G69" t="str">
        <x:v>free</x:v>
      </x:c>
      <x:c r="H69" t="str">
        <x:v>gpt-5-mini</x:v>
      </x:c>
      <x:c r="I69" t="str">
        <x:v>summarization</x:v>
      </x:c>
      <x:c r="J69" t="str">
        <x:v>success</x:v>
      </x:c>
      <x:c r="K69" t="n">
        <x:v>887</x:v>
      </x:c>
      <x:c r="L69" t="n">
        <x:v>210</x:v>
      </x:c>
      <x:c r="M69" t="n">
        <x:v>2122</x:v>
      </x:c>
      <x:c r="N69" t="n">
        <x:v>279</x:v>
      </x:c>
      <x:c r="O69" t="n">
        <x:f>M69+N69</x:f>
        <x:v>2401</x:v>
      </x:c>
      <x:c r="P69" s="14" t="n">
        <x:f>M69/1000000*VLOOKUP(H69,'Model Rates'!$A$2:$C$5,2,FALSE)+N69/1000000*VLOOKUP(H69,'Model Rates'!$A$2:$C$5,3,FALSE)</x:f>
        <x:v>0.0012952000000000003</x:v>
      </x:c>
      <x:c r="Q69" t="str">
        <x:v>v1.9</x:v>
      </x:c>
      <x:c r="R69" t="n">
        <x:v>0</x:v>
      </x:c>
      <x:c r="S69" s="1" t="b">
        <x:v>0</x:v>
      </x:c>
      <x:c r="T69" t="str">
        <x:v>blocked</x:v>
      </x:c>
      <x:c r="U69" s="16" t="n">
        <x:v>0.087</x:v>
      </x:c>
      <x:c r="V69" s="16" t="n">
        <x:v>0.804</x:v>
      </x:c>
      <x:c r="W69" s="16" t="n">
        <x:v>0.76</x:v>
      </x:c>
      <x:c r="X69" t="str">
        <x:v>positive</x:v>
      </x:c>
      <x:c r="Y69" t="str"/>
    </x:row>
    <x:row r="70">
      <x:c r="A70" s="12" t="n">
        <x:v>46243.24292824074</x:v>
      </x:c>
      <x:c r="B70" t="str">
        <x:v>tr_e447cf9c6821</x:v>
      </x:c>
      <x:c r="C70" t="str">
        <x:v>sp_e737cc43bc</x:v>
      </x:c>
      <x:c r="D70" t="str">
        <x:v>req_aa06c1cfc2a8</x:v>
      </x:c>
      <x:c r="E70" t="str">
        <x:v>agent-workflow</x:v>
      </x:c>
      <x:c r="F70" t="str">
        <x:v>staging</x:v>
      </x:c>
      <x:c r="G70" t="str">
        <x:v>free</x:v>
      </x:c>
      <x:c r="H70" t="str">
        <x:v>gpt-5-mini</x:v>
      </x:c>
      <x:c r="I70" t="str">
        <x:v>retrieval_answer</x:v>
      </x:c>
      <x:c r="J70" t="str">
        <x:v>success</x:v>
      </x:c>
      <x:c r="K70" t="n">
        <x:v>1232</x:v>
      </x:c>
      <x:c r="L70" t="n">
        <x:v>262</x:v>
      </x:c>
      <x:c r="M70" t="n">
        <x:v>1060</x:v>
      </x:c>
      <x:c r="N70" t="n">
        <x:v>332</x:v>
      </x:c>
      <x:c r="O70" t="n">
        <x:f>M70+N70</x:f>
        <x:v>1392</x:v>
      </x:c>
      <x:c r="P70" s="14" t="n">
        <x:f>M70/1000000*VLOOKUP(H70,'Model Rates'!$A$2:$C$5,2,FALSE)+N70/1000000*VLOOKUP(H70,'Model Rates'!$A$2:$C$5,3,FALSE)</x:f>
        <x:v>0.0009552</x:v>
      </x:c>
      <x:c r="Q70" t="str">
        <x:v>v2.0</x:v>
      </x:c>
      <x:c r="R70" t="n">
        <x:v>1</x:v>
      </x:c>
      <x:c r="S70" s="1" t="b">
        <x:v>0</x:v>
      </x:c>
      <x:c r="T70" t="str">
        <x:v>pass</x:v>
      </x:c>
      <x:c r="U70" s="16" t="n">
        <x:v>0.089</x:v>
      </x:c>
      <x:c r="V70" s="16" t="n">
        <x:v>0.941</x:v>
      </x:c>
      <x:c r="W70" s="16" t="n">
        <x:v>1</x:v>
      </x:c>
      <x:c r="X70" t="str">
        <x:v>positive</x:v>
      </x:c>
      <x:c r="Y70" t="str"/>
    </x:row>
    <x:row r="71">
      <x:c r="A71" s="12" t="n">
        <x:v>46243.25030092592</x:v>
      </x:c>
      <x:c r="B71" t="str">
        <x:v>tr_642504a2abc3</x:v>
      </x:c>
      <x:c r="C71" t="str">
        <x:v>sp_66211bd0bf</x:v>
      </x:c>
      <x:c r="D71" t="str">
        <x:v>req_7cc37db342cf</x:v>
      </x:c>
      <x:c r="E71" t="str">
        <x:v>agent-workflow</x:v>
      </x:c>
      <x:c r="F71" t="str">
        <x:v>prod</x:v>
      </x:c>
      <x:c r="G71" t="str">
        <x:v>free</x:v>
      </x:c>
      <x:c r="H71" t="str">
        <x:v>gpt-5</x:v>
      </x:c>
      <x:c r="I71" t="str">
        <x:v>tool_agent</x:v>
      </x:c>
      <x:c r="J71" t="str">
        <x:v>success</x:v>
      </x:c>
      <x:c r="K71" t="n">
        <x:v>1637</x:v>
      </x:c>
      <x:c r="L71" t="n">
        <x:v>483</x:v>
      </x:c>
      <x:c r="M71" t="n">
        <x:v>2057</x:v>
      </x:c>
      <x:c r="N71" t="n">
        <x:v>516</x:v>
      </x:c>
      <x:c r="O71" t="n">
        <x:f>M71+N71</x:f>
        <x:v>2573</x:v>
      </x:c>
      <x:c r="P71" s="14" t="n">
        <x:f>M71/1000000*VLOOKUP(H71,'Model Rates'!$A$2:$C$5,2,FALSE)+N71/1000000*VLOOKUP(H71,'Model Rates'!$A$2:$C$5,3,FALSE)</x:f>
        <x:v>0.007731249999999999</x:v>
      </x:c>
      <x:c r="Q71" t="str">
        <x:v>v2.0</x:v>
      </x:c>
      <x:c r="R71" t="n">
        <x:v>0</x:v>
      </x:c>
      <x:c r="S71" s="1" t="b">
        <x:v>0</x:v>
      </x:c>
      <x:c r="T71" t="str">
        <x:v>review</x:v>
      </x:c>
      <x:c r="U71" s="16" t="n">
        <x:v>0.033</x:v>
      </x:c>
      <x:c r="V71" s="16" t="n">
        <x:v>0.928</x:v>
      </x:c>
      <x:c r="W71" s="16" t="n">
        <x:v>0.806</x:v>
      </x:c>
      <x:c r="X71" t="str">
        <x:v>positive</x:v>
      </x:c>
      <x:c r="Y71" t="str"/>
    </x:row>
    <x:row r="72">
      <x:c r="A72" s="12" t="n">
        <x:v>46243.254108796296</x:v>
      </x:c>
      <x:c r="B72" t="str">
        <x:v>tr_ca59a3bbd2dc</x:v>
      </x:c>
      <x:c r="C72" t="str">
        <x:v>sp_51cfba8a84</x:v>
      </x:c>
      <x:c r="D72" t="str">
        <x:v>req_e25c4746e38f</x:v>
      </x:c>
      <x:c r="E72" t="str">
        <x:v>doc-summarizer</x:v>
      </x:c>
      <x:c r="F72" t="str">
        <x:v>prod</x:v>
      </x:c>
      <x:c r="G72" t="str">
        <x:v>pro</x:v>
      </x:c>
      <x:c r="H72" t="str">
        <x:v>gpt-5-mini</x:v>
      </x:c>
      <x:c r="I72" t="str">
        <x:v>chat_completion</x:v>
      </x:c>
      <x:c r="J72" t="str">
        <x:v>success</x:v>
      </x:c>
      <x:c r="K72" t="n">
        <x:v>1251</x:v>
      </x:c>
      <x:c r="L72" t="n">
        <x:v>252</x:v>
      </x:c>
      <x:c r="M72" t="n">
        <x:v>1233</x:v>
      </x:c>
      <x:c r="N72" t="n">
        <x:v>317</x:v>
      </x:c>
      <x:c r="O72" t="n">
        <x:f>M72+N72</x:f>
        <x:v>1550</x:v>
      </x:c>
      <x:c r="P72" s="14" t="n">
        <x:f>M72/1000000*VLOOKUP(H72,'Model Rates'!$A$2:$C$5,2,FALSE)+N72/1000000*VLOOKUP(H72,'Model Rates'!$A$2:$C$5,3,FALSE)</x:f>
        <x:v>0.0010004</x:v>
      </x:c>
      <x:c r="Q72" t="str">
        <x:v>v1.8</x:v>
      </x:c>
      <x:c r="R72" t="n">
        <x:v>0</x:v>
      </x:c>
      <x:c r="S72" s="1" t="b">
        <x:v>0</x:v>
      </x:c>
      <x:c r="T72" t="str">
        <x:v>pass</x:v>
      </x:c>
      <x:c r="U72" s="16" t="n">
        <x:v>0.118</x:v>
      </x:c>
      <x:c r="V72" s="16" t="n">
        <x:v>0.943</x:v>
      </x:c>
      <x:c r="W72" s="16" t="n">
        <x:v>0.789</x:v>
      </x:c>
      <x:c r="X72" t="str">
        <x:v>none</x:v>
      </x:c>
      <x:c r="Y72" t="str"/>
    </x:row>
    <x:row r="73">
      <x:c r="A73" s="12" t="n">
        <x:v>46243.2546875</x:v>
      </x:c>
      <x:c r="B73" t="str">
        <x:v>tr_dd89605df3e1</x:v>
      </x:c>
      <x:c r="C73" t="str">
        <x:v>sp_227e2ae72e</x:v>
      </x:c>
      <x:c r="D73" t="str">
        <x:v>req_5a94e4ce88c7</x:v>
      </x:c>
      <x:c r="E73" t="str">
        <x:v>support-copilot</x:v>
      </x:c>
      <x:c r="F73" t="str">
        <x:v>prod</x:v>
      </x:c>
      <x:c r="G73" t="str">
        <x:v>pro</x:v>
      </x:c>
      <x:c r="H73" t="str">
        <x:v>gpt-5</x:v>
      </x:c>
      <x:c r="I73" t="str">
        <x:v>summarization</x:v>
      </x:c>
      <x:c r="J73" t="str">
        <x:v>success</x:v>
      </x:c>
      <x:c r="K73" t="n">
        <x:v>2170</x:v>
      </x:c>
      <x:c r="L73" t="n">
        <x:v>426</x:v>
      </x:c>
      <x:c r="M73" t="n">
        <x:v>835</x:v>
      </x:c>
      <x:c r="N73" t="n">
        <x:v>201</x:v>
      </x:c>
      <x:c r="O73" t="n">
        <x:f>M73+N73</x:f>
        <x:v>1036</x:v>
      </x:c>
      <x:c r="P73" s="14" t="n">
        <x:f>M73/1000000*VLOOKUP(H73,'Model Rates'!$A$2:$C$5,2,FALSE)+N73/1000000*VLOOKUP(H73,'Model Rates'!$A$2:$C$5,3,FALSE)</x:f>
        <x:v>0.00305375</x:v>
      </x:c>
      <x:c r="Q73" t="str">
        <x:v>v1.9</x:v>
      </x:c>
      <x:c r="R73" t="n">
        <x:v>0</x:v>
      </x:c>
      <x:c r="S73" s="1" t="b">
        <x:v>1</x:v>
      </x:c>
      <x:c r="T73" t="str">
        <x:v>pass</x:v>
      </x:c>
      <x:c r="U73" s="16" t="n">
        <x:v>0.016</x:v>
      </x:c>
      <x:c r="V73" s="16" t="n">
        <x:v>0.978</x:v>
      </x:c>
      <x:c r="W73" s="16" t="n">
        <x:v>0.775</x:v>
      </x:c>
      <x:c r="X73" t="str">
        <x:v>positive</x:v>
      </x:c>
      <x:c r="Y73" t="str"/>
    </x:row>
    <x:row r="74">
      <x:c r="A74" s="12" t="n">
        <x:v>46243.263125</x:v>
      </x:c>
      <x:c r="B74" t="str">
        <x:v>tr_9479b7a864a5</x:v>
      </x:c>
      <x:c r="C74" t="str">
        <x:v>sp_08a39952a6</x:v>
      </x:c>
      <x:c r="D74" t="str">
        <x:v>req_082ddf062b51</x:v>
      </x:c>
      <x:c r="E74" t="str">
        <x:v>support-copilot</x:v>
      </x:c>
      <x:c r="F74" t="str">
        <x:v>prod</x:v>
      </x:c>
      <x:c r="G74" t="str">
        <x:v>pro</x:v>
      </x:c>
      <x:c r="H74" t="str">
        <x:v>gpt-5-mini</x:v>
      </x:c>
      <x:c r="I74" t="str">
        <x:v>tool_agent</x:v>
      </x:c>
      <x:c r="J74" t="str">
        <x:v>success</x:v>
      </x:c>
      <x:c r="K74" t="n">
        <x:v>1160</x:v>
      </x:c>
      <x:c r="L74" t="n">
        <x:v>151</x:v>
      </x:c>
      <x:c r="M74" t="n">
        <x:v>1414</x:v>
      </x:c>
      <x:c r="N74" t="n">
        <x:v>119</x:v>
      </x:c>
      <x:c r="O74" t="n">
        <x:f>M74+N74</x:f>
        <x:v>1533</x:v>
      </x:c>
      <x:c r="P74" s="14" t="n">
        <x:f>M74/1000000*VLOOKUP(H74,'Model Rates'!$A$2:$C$5,2,FALSE)+N74/1000000*VLOOKUP(H74,'Model Rates'!$A$2:$C$5,3,FALSE)</x:f>
        <x:v>0.0007559999999999999</x:v>
      </x:c>
      <x:c r="Q74" t="str">
        <x:v>v2.0</x:v>
      </x:c>
      <x:c r="R74" t="n">
        <x:v>0</x:v>
      </x:c>
      <x:c r="S74" s="1" t="b">
        <x:v>1</x:v>
      </x:c>
      <x:c r="T74" t="str">
        <x:v>pass</x:v>
      </x:c>
      <x:c r="U74" s="16" t="n">
        <x:v>0.24</x:v>
      </x:c>
      <x:c r="V74" s="16" t="n">
        <x:v>0.927</x:v>
      </x:c>
      <x:c r="W74" s="16" t="n">
        <x:v>0.829</x:v>
      </x:c>
      <x:c r="X74" t="str">
        <x:v>none</x:v>
      </x:c>
      <x:c r="Y74" t="str"/>
    </x:row>
    <x:row r="75">
      <x:c r="A75" s="12" t="n">
        <x:v>46243.269212962965</x:v>
      </x:c>
      <x:c r="B75" t="str">
        <x:v>tr_73e082ed47f5</x:v>
      </x:c>
      <x:c r="C75" t="str">
        <x:v>sp_c0fd029d68</x:v>
      </x:c>
      <x:c r="D75" t="str">
        <x:v>req_6f9f319110c0</x:v>
      </x:c>
      <x:c r="E75" t="str">
        <x:v>doc-summarizer</x:v>
      </x:c>
      <x:c r="F75" t="str">
        <x:v>prod</x:v>
      </x:c>
      <x:c r="G75" t="str">
        <x:v>free</x:v>
      </x:c>
      <x:c r="H75" t="str">
        <x:v>gemini-pro</x:v>
      </x:c>
      <x:c r="I75" t="str">
        <x:v>tool_agent</x:v>
      </x:c>
      <x:c r="J75" t="str">
        <x:v>success</x:v>
      </x:c>
      <x:c r="K75" t="n">
        <x:v>1422</x:v>
      </x:c>
      <x:c r="L75" t="n">
        <x:v>80</x:v>
      </x:c>
      <x:c r="M75" t="n">
        <x:v>798</x:v>
      </x:c>
      <x:c r="N75" t="n">
        <x:v>209</x:v>
      </x:c>
      <x:c r="O75" t="n">
        <x:f>M75+N75</x:f>
        <x:v>1007</x:v>
      </x:c>
      <x:c r="P75" s="14" t="n">
        <x:f>M75/1000000*VLOOKUP(H75,'Model Rates'!$A$2:$C$5,2,FALSE)+N75/1000000*VLOOKUP(H75,'Model Rates'!$A$2:$C$5,3,FALSE)</x:f>
        <x:v>0.0020425</x:v>
      </x:c>
      <x:c r="Q75" t="str">
        <x:v>v2.0</x:v>
      </x:c>
      <x:c r="R75" t="n">
        <x:v>0</x:v>
      </x:c>
      <x:c r="S75" s="1" t="b">
        <x:v>0</x:v>
      </x:c>
      <x:c r="T75" t="str">
        <x:v>pass</x:v>
      </x:c>
      <x:c r="U75" s="16" t="n">
        <x:v>0.154</x:v>
      </x:c>
      <x:c r="V75" s="16" t="n">
        <x:v>0.869</x:v>
      </x:c>
      <x:c r="W75" s="16" t="n">
        <x:v>0.724</x:v>
      </x:c>
      <x:c r="X75" t="str">
        <x:v>positive</x:v>
      </x:c>
      <x:c r="Y75" t="str"/>
    </x:row>
    <x:row r="76">
      <x:c r="A76" s="12" t="n">
        <x:v>46243.272939814815</x:v>
      </x:c>
      <x:c r="B76" t="str">
        <x:v>tr_2a663278e3c3</x:v>
      </x:c>
      <x:c r="C76" t="str">
        <x:v>sp_d85a6c4d56</x:v>
      </x:c>
      <x:c r="D76" t="str">
        <x:v>req_f9497e53764c</x:v>
      </x:c>
      <x:c r="E76" t="str">
        <x:v>support-copilot</x:v>
      </x:c>
      <x:c r="F76" t="str">
        <x:v>prod</x:v>
      </x:c>
      <x:c r="G76" t="str">
        <x:v>enterprise</x:v>
      </x:c>
      <x:c r="H76" t="str">
        <x:v>gpt-5-mini</x:v>
      </x:c>
      <x:c r="I76" t="str">
        <x:v>chat_completion</x:v>
      </x:c>
      <x:c r="J76" t="str">
        <x:v>success</x:v>
      </x:c>
      <x:c r="K76" t="n">
        <x:v>1861</x:v>
      </x:c>
      <x:c r="L76" t="n">
        <x:v>259</x:v>
      </x:c>
      <x:c r="M76" t="n">
        <x:v>742</x:v>
      </x:c>
      <x:c r="N76" t="n">
        <x:v>340</x:v>
      </x:c>
      <x:c r="O76" t="n">
        <x:f>M76+N76</x:f>
        <x:v>1082</x:v>
      </x:c>
      <x:c r="P76" s="14" t="n">
        <x:f>M76/1000000*VLOOKUP(H76,'Model Rates'!$A$2:$C$5,2,FALSE)+N76/1000000*VLOOKUP(H76,'Model Rates'!$A$2:$C$5,3,FALSE)</x:f>
        <x:v>0.0008408000000000002</x:v>
      </x:c>
      <x:c r="Q76" t="str">
        <x:v>v1.8</x:v>
      </x:c>
      <x:c r="R76" t="n">
        <x:v>1</x:v>
      </x:c>
      <x:c r="S76" s="1" t="b">
        <x:v>0</x:v>
      </x:c>
      <x:c r="T76" t="str">
        <x:v>review</x:v>
      </x:c>
      <x:c r="U76" s="16" t="n">
        <x:v>0.175</x:v>
      </x:c>
      <x:c r="V76" s="16" t="n">
        <x:v>0.805</x:v>
      </x:c>
      <x:c r="W76" s="16" t="n">
        <x:v>0.686</x:v>
      </x:c>
      <x:c r="X76" t="str">
        <x:v>none</x:v>
      </x:c>
      <x:c r="Y76" t="str"/>
    </x:row>
    <x:row r="77">
      <x:c r="A77" s="12" t="n">
        <x:v>46243.27359953704</x:v>
      </x:c>
      <x:c r="B77" t="str">
        <x:v>tr_039b36e98f91</x:v>
      </x:c>
      <x:c r="C77" t="str">
        <x:v>sp_96b42c4ab5</x:v>
      </x:c>
      <x:c r="D77" t="str">
        <x:v>req_68ee7021bcad</x:v>
      </x:c>
      <x:c r="E77" t="str">
        <x:v>agent-workflow</x:v>
      </x:c>
      <x:c r="F77" t="str">
        <x:v>prod</x:v>
      </x:c>
      <x:c r="G77" t="str">
        <x:v>enterprise</x:v>
      </x:c>
      <x:c r="H77" t="str">
        <x:v>claude-sonnet</x:v>
      </x:c>
      <x:c r="I77" t="str">
        <x:v>summarization</x:v>
      </x:c>
      <x:c r="J77" t="str">
        <x:v>error</x:v>
      </x:c>
      <x:c r="K77" t="n">
        <x:v>640</x:v>
      </x:c>
      <x:c r="L77" t="n">
        <x:v>283</x:v>
      </x:c>
      <x:c r="M77" t="n">
        <x:v>339</x:v>
      </x:c>
      <x:c r="N77" t="n">
        <x:v>249</x:v>
      </x:c>
      <x:c r="O77" t="n">
        <x:f>M77+N77</x:f>
        <x:v>588</x:v>
      </x:c>
      <x:c r="P77" s="14" t="n">
        <x:f>M77/1000000*VLOOKUP(H77,'Model Rates'!$A$2:$C$5,2,FALSE)+N77/1000000*VLOOKUP(H77,'Model Rates'!$A$2:$C$5,3,FALSE)</x:f>
        <x:v>0.004751999999999999</x:v>
      </x:c>
      <x:c r="Q77" t="str">
        <x:v>v1.9</x:v>
      </x:c>
      <x:c r="R77" t="n">
        <x:v>0</x:v>
      </x:c>
      <x:c r="S77" s="1" t="b">
        <x:v>0</x:v>
      </x:c>
      <x:c r="T77" t="str">
        <x:v>pass</x:v>
      </x:c>
      <x:c r="U77" s="16" t="n">
        <x:v>0.196</x:v>
      </x:c>
      <x:c r="V77" s="16" t="n">
        <x:v>0.592</x:v>
      </x:c>
      <x:c r="W77" s="16" t="n">
        <x:v>0.426</x:v>
      </x:c>
      <x:c r="X77" t="str">
        <x:v>none</x:v>
      </x:c>
      <x:c r="Y77" t="str">
        <x:v>provider_5xx</x:v>
      </x:c>
    </x:row>
    <x:row r="78">
      <x:c r="A78" s="12" t="n">
        <x:v>46243.27741898148</x:v>
      </x:c>
      <x:c r="B78" t="str">
        <x:v>tr_d26199ea102b</x:v>
      </x:c>
      <x:c r="C78" t="str">
        <x:v>sp_8f4fe0c496</x:v>
      </x:c>
      <x:c r="D78" t="str">
        <x:v>req_81febddba3ae</x:v>
      </x:c>
      <x:c r="E78" t="str">
        <x:v>agent-workflow</x:v>
      </x:c>
      <x:c r="F78" t="str">
        <x:v>staging</x:v>
      </x:c>
      <x:c r="G78" t="str">
        <x:v>free</x:v>
      </x:c>
      <x:c r="H78" t="str">
        <x:v>gpt-5-mini</x:v>
      </x:c>
      <x:c r="I78" t="str">
        <x:v>retrieval_answer</x:v>
      </x:c>
      <x:c r="J78" t="str">
        <x:v>success</x:v>
      </x:c>
      <x:c r="K78" t="n">
        <x:v>1379</x:v>
      </x:c>
      <x:c r="L78" t="n">
        <x:v>205</x:v>
      </x:c>
      <x:c r="M78" t="n">
        <x:v>1309</x:v>
      </x:c>
      <x:c r="N78" t="n">
        <x:v>135</x:v>
      </x:c>
      <x:c r="O78" t="n">
        <x:f>M78+N78</x:f>
        <x:v>1444</x:v>
      </x:c>
      <x:c r="P78" s="14" t="n">
        <x:f>M78/1000000*VLOOKUP(H78,'Model Rates'!$A$2:$C$5,2,FALSE)+N78/1000000*VLOOKUP(H78,'Model Rates'!$A$2:$C$5,3,FALSE)</x:f>
        <x:v>0.0007396000000000001</x:v>
      </x:c>
      <x:c r="Q78" t="str">
        <x:v>v2.0</x:v>
      </x:c>
      <x:c r="R78" t="n">
        <x:v>0</x:v>
      </x:c>
      <x:c r="S78" s="1" t="b">
        <x:v>1</x:v>
      </x:c>
      <x:c r="T78" t="str">
        <x:v>pass</x:v>
      </x:c>
      <x:c r="U78" s="16" t="n">
        <x:v>0.127</x:v>
      </x:c>
      <x:c r="V78" s="16" t="n">
        <x:v>0.648</x:v>
      </x:c>
      <x:c r="W78" s="16" t="n">
        <x:v>0.733</x:v>
      </x:c>
      <x:c r="X78" t="str">
        <x:v>none</x:v>
      </x:c>
      <x:c r="Y78" t="str"/>
    </x:row>
    <x:row r="79">
      <x:c r="A79" s="12" t="n">
        <x:v>46243.28040509259</x:v>
      </x:c>
      <x:c r="B79" t="str">
        <x:v>tr_8dc10cc5d15a</x:v>
      </x:c>
      <x:c r="C79" t="str">
        <x:v>sp_4618b67835</x:v>
      </x:c>
      <x:c r="D79" t="str">
        <x:v>req_7966b524887e</x:v>
      </x:c>
      <x:c r="E79" t="str">
        <x:v>doc-summarizer</x:v>
      </x:c>
      <x:c r="F79" t="str">
        <x:v>prod</x:v>
      </x:c>
      <x:c r="G79" t="str">
        <x:v>enterprise</x:v>
      </x:c>
      <x:c r="H79" t="str">
        <x:v>gpt-5-mini</x:v>
      </x:c>
      <x:c r="I79" t="str">
        <x:v>summarization</x:v>
      </x:c>
      <x:c r="J79" t="str">
        <x:v>error</x:v>
      </x:c>
      <x:c r="K79" t="n">
        <x:v>1519</x:v>
      </x:c>
      <x:c r="L79" t="n">
        <x:v>149</x:v>
      </x:c>
      <x:c r="M79" t="n">
        <x:v>743</x:v>
      </x:c>
      <x:c r="N79" t="n">
        <x:v>166</x:v>
      </x:c>
      <x:c r="O79" t="n">
        <x:f>M79+N79</x:f>
        <x:v>909</x:v>
      </x:c>
      <x:c r="P79" s="14" t="n">
        <x:f>M79/1000000*VLOOKUP(H79,'Model Rates'!$A$2:$C$5,2,FALSE)+N79/1000000*VLOOKUP(H79,'Model Rates'!$A$2:$C$5,3,FALSE)</x:f>
        <x:v>0.0005628</x:v>
      </x:c>
      <x:c r="Q79" t="str">
        <x:v>v1.9</x:v>
      </x:c>
      <x:c r="R79" t="n">
        <x:v>1</x:v>
      </x:c>
      <x:c r="S79" s="1" t="b">
        <x:v>0</x:v>
      </x:c>
      <x:c r="T79" t="str">
        <x:v>pass</x:v>
      </x:c>
      <x:c r="U79" s="16" t="n">
        <x:v>0.207</x:v>
      </x:c>
      <x:c r="V79" s="16" t="n">
        <x:v>0.609</x:v>
      </x:c>
      <x:c r="W79" s="16" t="n">
        <x:v>0.644</x:v>
      </x:c>
      <x:c r="X79" t="str">
        <x:v>positive</x:v>
      </x:c>
      <x:c r="Y79" t="str">
        <x:v>provider_5xx</x:v>
      </x:c>
    </x:row>
    <x:row r="80">
      <x:c r="A80" s="12" t="n">
        <x:v>46243.281851851854</x:v>
      </x:c>
      <x:c r="B80" t="str">
        <x:v>tr_d5868e07b750</x:v>
      </x:c>
      <x:c r="C80" t="str">
        <x:v>sp_d4b7229f71</x:v>
      </x:c>
      <x:c r="D80" t="str">
        <x:v>req_927dc3261c47</x:v>
      </x:c>
      <x:c r="E80" t="str">
        <x:v>support-copilot</x:v>
      </x:c>
      <x:c r="F80" t="str">
        <x:v>prod</x:v>
      </x:c>
      <x:c r="G80" t="str">
        <x:v>enterprise</x:v>
      </x:c>
      <x:c r="H80" t="str">
        <x:v>gpt-5</x:v>
      </x:c>
      <x:c r="I80" t="str">
        <x:v>tool_agent</x:v>
      </x:c>
      <x:c r="J80" t="str">
        <x:v>success</x:v>
      </x:c>
      <x:c r="K80" t="n">
        <x:v>1246</x:v>
      </x:c>
      <x:c r="L80" t="n">
        <x:v>438</x:v>
      </x:c>
      <x:c r="M80" t="n">
        <x:v>1213</x:v>
      </x:c>
      <x:c r="N80" t="n">
        <x:v>672</x:v>
      </x:c>
      <x:c r="O80" t="n">
        <x:f>M80+N80</x:f>
        <x:v>1885</x:v>
      </x:c>
      <x:c r="P80" s="14" t="n">
        <x:f>M80/1000000*VLOOKUP(H80,'Model Rates'!$A$2:$C$5,2,FALSE)+N80/1000000*VLOOKUP(H80,'Model Rates'!$A$2:$C$5,3,FALSE)</x:f>
        <x:v>0.00823625</x:v>
      </x:c>
      <x:c r="Q80" t="str">
        <x:v>v1.9</x:v>
      </x:c>
      <x:c r="R80" t="n">
        <x:v>0</x:v>
      </x:c>
      <x:c r="S80" s="1" t="b">
        <x:v>1</x:v>
      </x:c>
      <x:c r="T80" t="str">
        <x:v>blocked</x:v>
      </x:c>
      <x:c r="U80" s="16" t="n">
        <x:v>0</x:v>
      </x:c>
      <x:c r="V80" s="16" t="n">
        <x:v>1</x:v>
      </x:c>
      <x:c r="W80" s="16" t="n">
        <x:v>0.946</x:v>
      </x:c>
      <x:c r="X80" t="str">
        <x:v>none</x:v>
      </x:c>
      <x:c r="Y80" t="str"/>
    </x:row>
    <x:row r="81">
      <x:c r="A81" s="12" t="n">
        <x:v>46243.28207175926</x:v>
      </x:c>
      <x:c r="B81" t="str">
        <x:v>tr_ab8bba9dd674</x:v>
      </x:c>
      <x:c r="C81" t="str">
        <x:v>sp_74c1c22e3f</x:v>
      </x:c>
      <x:c r="D81" t="str">
        <x:v>req_6e852fb574c4</x:v>
      </x:c>
      <x:c r="E81" t="str">
        <x:v>doc-summarizer</x:v>
      </x:c>
      <x:c r="F81" t="str">
        <x:v>prod</x:v>
      </x:c>
      <x:c r="G81" t="str">
        <x:v>pro</x:v>
      </x:c>
      <x:c r="H81" t="str">
        <x:v>gemini-pro</x:v>
      </x:c>
      <x:c r="I81" t="str">
        <x:v>chat_completion</x:v>
      </x:c>
      <x:c r="J81" t="str">
        <x:v>success</x:v>
      </x:c>
      <x:c r="K81" t="n">
        <x:v>1374</x:v>
      </x:c>
      <x:c r="L81" t="n">
        <x:v>407</x:v>
      </x:c>
      <x:c r="M81" t="n">
        <x:v>651</x:v>
      </x:c>
      <x:c r="N81" t="n">
        <x:v>257</x:v>
      </x:c>
      <x:c r="O81" t="n">
        <x:f>M81+N81</x:f>
        <x:v>908</x:v>
      </x:c>
      <x:c r="P81" s="14" t="n">
        <x:f>M81/1000000*VLOOKUP(H81,'Model Rates'!$A$2:$C$5,2,FALSE)+N81/1000000*VLOOKUP(H81,'Model Rates'!$A$2:$C$5,3,FALSE)</x:f>
        <x:v>0.00209875</x:v>
      </x:c>
      <x:c r="Q81" t="str">
        <x:v>v1.9</x:v>
      </x:c>
      <x:c r="R81" t="n">
        <x:v>0</x:v>
      </x:c>
      <x:c r="S81" s="1" t="b">
        <x:v>0</x:v>
      </x:c>
      <x:c r="T81" t="str">
        <x:v>pass</x:v>
      </x:c>
      <x:c r="U81" s="16" t="n">
        <x:v>0.136</x:v>
      </x:c>
      <x:c r="V81" s="16" t="n">
        <x:v>0.899</x:v>
      </x:c>
      <x:c r="W81" s="16" t="n">
        <x:v>1</x:v>
      </x:c>
      <x:c r="X81" t="str">
        <x:v>positive</x:v>
      </x:c>
      <x:c r="Y81" t="str"/>
    </x:row>
    <x:row r="82">
      <x:c r="A82" s="12" t="n">
        <x:v>46243.28223379629</x:v>
      </x:c>
      <x:c r="B82" t="str">
        <x:v>tr_371b39276ed0</x:v>
      </x:c>
      <x:c r="C82" t="str">
        <x:v>sp_2ae541f2a3</x:v>
      </x:c>
      <x:c r="D82" t="str">
        <x:v>req_9ba52addcaac</x:v>
      </x:c>
      <x:c r="E82" t="str">
        <x:v>agent-workflow</x:v>
      </x:c>
      <x:c r="F82" t="str">
        <x:v>prod</x:v>
      </x:c>
      <x:c r="G82" t="str">
        <x:v>free</x:v>
      </x:c>
      <x:c r="H82" t="str">
        <x:v>gpt-5</x:v>
      </x:c>
      <x:c r="I82" t="str">
        <x:v>summarization</x:v>
      </x:c>
      <x:c r="J82" t="str">
        <x:v>success</x:v>
      </x:c>
      <x:c r="K82" t="n">
        <x:v>3703</x:v>
      </x:c>
      <x:c r="L82" t="n">
        <x:v>460</x:v>
      </x:c>
      <x:c r="M82" t="n">
        <x:v>1175</x:v>
      </x:c>
      <x:c r="N82" t="n">
        <x:v>367</x:v>
      </x:c>
      <x:c r="O82" t="n">
        <x:f>M82+N82</x:f>
        <x:v>1542</x:v>
      </x:c>
      <x:c r="P82" s="14" t="n">
        <x:f>M82/1000000*VLOOKUP(H82,'Model Rates'!$A$2:$C$5,2,FALSE)+N82/1000000*VLOOKUP(H82,'Model Rates'!$A$2:$C$5,3,FALSE)</x:f>
        <x:v>0.005138749999999999</x:v>
      </x:c>
      <x:c r="Q82" t="str">
        <x:v>v1.9</x:v>
      </x:c>
      <x:c r="R82" t="n">
        <x:v>3</x:v>
      </x:c>
      <x:c r="S82" s="1" t="b">
        <x:v>1</x:v>
      </x:c>
      <x:c r="T82" t="str">
        <x:v>blocked</x:v>
      </x:c>
      <x:c r="U82" s="16" t="n">
        <x:v>0.09</x:v>
      </x:c>
      <x:c r="V82" s="16" t="n">
        <x:v>0.927</x:v>
      </x:c>
      <x:c r="W82" s="16" t="n">
        <x:v>0.816</x:v>
      </x:c>
      <x:c r="X82" t="str">
        <x:v>none</x:v>
      </x:c>
      <x:c r="Y82" t="str"/>
    </x:row>
    <x:row r="83">
      <x:c r="A83" s="12" t="n">
        <x:v>46243.28362268519</x:v>
      </x:c>
      <x:c r="B83" t="str">
        <x:v>tr_f9687425b677</x:v>
      </x:c>
      <x:c r="C83" t="str">
        <x:v>sp_dbf0f08828</x:v>
      </x:c>
      <x:c r="D83" t="str">
        <x:v>req_3714599ee8f5</x:v>
      </x:c>
      <x:c r="E83" t="str">
        <x:v>search-assistant</x:v>
      </x:c>
      <x:c r="F83" t="str">
        <x:v>prod</x:v>
      </x:c>
      <x:c r="G83" t="str">
        <x:v>free</x:v>
      </x:c>
      <x:c r="H83" t="str">
        <x:v>gpt-5-mini</x:v>
      </x:c>
      <x:c r="I83" t="str">
        <x:v>retrieval_answer</x:v>
      </x:c>
      <x:c r="J83" t="str">
        <x:v>success</x:v>
      </x:c>
      <x:c r="K83" t="n">
        <x:v>1410</x:v>
      </x:c>
      <x:c r="L83" t="n">
        <x:v>296</x:v>
      </x:c>
      <x:c r="M83" t="n">
        <x:v>974</x:v>
      </x:c>
      <x:c r="N83" t="n">
        <x:v>329</x:v>
      </x:c>
      <x:c r="O83" t="n">
        <x:f>M83+N83</x:f>
        <x:v>1303</x:v>
      </x:c>
      <x:c r="P83" s="14" t="n">
        <x:f>M83/1000000*VLOOKUP(H83,'Model Rates'!$A$2:$C$5,2,FALSE)+N83/1000000*VLOOKUP(H83,'Model Rates'!$A$2:$C$5,3,FALSE)</x:f>
        <x:v>0.000916</x:v>
      </x:c>
      <x:c r="Q83" t="str">
        <x:v>v2.0</x:v>
      </x:c>
      <x:c r="R83" t="n">
        <x:v>1</x:v>
      </x:c>
      <x:c r="S83" s="1" t="b">
        <x:v>0</x:v>
      </x:c>
      <x:c r="T83" t="str">
        <x:v>blocked</x:v>
      </x:c>
      <x:c r="U83" s="16" t="n">
        <x:v>0</x:v>
      </x:c>
      <x:c r="V83" s="16" t="n">
        <x:v>0.797</x:v>
      </x:c>
      <x:c r="W83" s="16" t="n">
        <x:v>0.937</x:v>
      </x:c>
      <x:c r="X83" t="str">
        <x:v>none</x:v>
      </x:c>
      <x:c r="Y83" t="str"/>
    </x:row>
    <x:row r="84">
      <x:c r="A84" s="12" t="n">
        <x:v>46243.285844907405</x:v>
      </x:c>
      <x:c r="B84" t="str">
        <x:v>tr_80b08e30a49f</x:v>
      </x:c>
      <x:c r="C84" t="str">
        <x:v>sp_95c79dba2a</x:v>
      </x:c>
      <x:c r="D84" t="str">
        <x:v>req_cdfc8bb639d3</x:v>
      </x:c>
      <x:c r="E84" t="str">
        <x:v>agent-workflow</x:v>
      </x:c>
      <x:c r="F84" t="str">
        <x:v>prod</x:v>
      </x:c>
      <x:c r="G84" t="str">
        <x:v>free</x:v>
      </x:c>
      <x:c r="H84" t="str">
        <x:v>gpt-5-mini</x:v>
      </x:c>
      <x:c r="I84" t="str">
        <x:v>tool_agent</x:v>
      </x:c>
      <x:c r="J84" t="str">
        <x:v>success</x:v>
      </x:c>
      <x:c r="K84" t="n">
        <x:v>943</x:v>
      </x:c>
      <x:c r="L84" t="n">
        <x:v>251</x:v>
      </x:c>
      <x:c r="M84" t="n">
        <x:v>904</x:v>
      </x:c>
      <x:c r="N84" t="n">
        <x:v>677</x:v>
      </x:c>
      <x:c r="O84" t="n">
        <x:f>M84+N84</x:f>
        <x:v>1581</x:v>
      </x:c>
      <x:c r="P84" s="14" t="n">
        <x:f>M84/1000000*VLOOKUP(H84,'Model Rates'!$A$2:$C$5,2,FALSE)+N84/1000000*VLOOKUP(H84,'Model Rates'!$A$2:$C$5,3,FALSE)</x:f>
        <x:v>0.0014448</x:v>
      </x:c>
      <x:c r="Q84" t="str">
        <x:v>v2.0</x:v>
      </x:c>
      <x:c r="R84" t="n">
        <x:v>0</x:v>
      </x:c>
      <x:c r="S84" s="1" t="b">
        <x:v>0</x:v>
      </x:c>
      <x:c r="T84" t="str">
        <x:v>pass</x:v>
      </x:c>
      <x:c r="U84" s="16" t="n">
        <x:v>0</x:v>
      </x:c>
      <x:c r="V84" s="16" t="n">
        <x:v>0.775</x:v>
      </x:c>
      <x:c r="W84" s="16" t="n">
        <x:v>0.776</x:v>
      </x:c>
      <x:c r="X84" t="str">
        <x:v>positive</x:v>
      </x:c>
      <x:c r="Y84" t="str"/>
    </x:row>
    <x:row r="85">
      <x:c r="A85" s="12" t="n">
        <x:v>46243.28741898148</x:v>
      </x:c>
      <x:c r="B85" t="str">
        <x:v>tr_a2a0a8b8d443</x:v>
      </x:c>
      <x:c r="C85" t="str">
        <x:v>sp_9abbc85b5d</x:v>
      </x:c>
      <x:c r="D85" t="str">
        <x:v>req_438373e79d83</x:v>
      </x:c>
      <x:c r="E85" t="str">
        <x:v>search-assistant</x:v>
      </x:c>
      <x:c r="F85" t="str">
        <x:v>prod</x:v>
      </x:c>
      <x:c r="G85" t="str">
        <x:v>enterprise</x:v>
      </x:c>
      <x:c r="H85" t="str">
        <x:v>gpt-5-mini</x:v>
      </x:c>
      <x:c r="I85" t="str">
        <x:v>tool_agent</x:v>
      </x:c>
      <x:c r="J85" t="str">
        <x:v>success</x:v>
      </x:c>
      <x:c r="K85" t="n">
        <x:v>665</x:v>
      </x:c>
      <x:c r="L85" t="n">
        <x:v>80</x:v>
      </x:c>
      <x:c r="M85" t="n">
        <x:v>889</x:v>
      </x:c>
      <x:c r="N85" t="n">
        <x:v>274</x:v>
      </x:c>
      <x:c r="O85" t="n">
        <x:f>M85+N85</x:f>
        <x:v>1163</x:v>
      </x:c>
      <x:c r="P85" s="14" t="n">
        <x:f>M85/1000000*VLOOKUP(H85,'Model Rates'!$A$2:$C$5,2,FALSE)+N85/1000000*VLOOKUP(H85,'Model Rates'!$A$2:$C$5,3,FALSE)</x:f>
        <x:v>0.000794</x:v>
      </x:c>
      <x:c r="Q85" t="str">
        <x:v>v1.8</x:v>
      </x:c>
      <x:c r="R85" t="n">
        <x:v>0</x:v>
      </x:c>
      <x:c r="S85" s="1" t="b">
        <x:v>0</x:v>
      </x:c>
      <x:c r="T85" t="str">
        <x:v>pass</x:v>
      </x:c>
      <x:c r="U85" s="16" t="n">
        <x:v>0.175</x:v>
      </x:c>
      <x:c r="V85" s="16" t="n">
        <x:v>0.993</x:v>
      </x:c>
      <x:c r="W85" s="16" t="n">
        <x:v>0.768</x:v>
      </x:c>
      <x:c r="X85" t="str">
        <x:v>negative</x:v>
      </x:c>
      <x:c r="Y85" t="str"/>
    </x:row>
    <x:row r="86">
      <x:c r="A86" s="12" t="n">
        <x:v>46243.2884837963</x:v>
      </x:c>
      <x:c r="B86" t="str">
        <x:v>tr_fdd881dba93b</x:v>
      </x:c>
      <x:c r="C86" t="str">
        <x:v>sp_927d639cf9</x:v>
      </x:c>
      <x:c r="D86" t="str">
        <x:v>req_f77a0f73ea5c</x:v>
      </x:c>
      <x:c r="E86" t="str">
        <x:v>search-assistant</x:v>
      </x:c>
      <x:c r="F86" t="str">
        <x:v>prod</x:v>
      </x:c>
      <x:c r="G86" t="str">
        <x:v>free</x:v>
      </x:c>
      <x:c r="H86" t="str">
        <x:v>gpt-5</x:v>
      </x:c>
      <x:c r="I86" t="str">
        <x:v>summarization</x:v>
      </x:c>
      <x:c r="J86" t="str">
        <x:v>success</x:v>
      </x:c>
      <x:c r="K86" t="n">
        <x:v>2326</x:v>
      </x:c>
      <x:c r="L86" t="n">
        <x:v>326</x:v>
      </x:c>
      <x:c r="M86" t="n">
        <x:v>616</x:v>
      </x:c>
      <x:c r="N86" t="n">
        <x:v>139</x:v>
      </x:c>
      <x:c r="O86" t="n">
        <x:f>M86+N86</x:f>
        <x:v>755</x:v>
      </x:c>
      <x:c r="P86" s="14" t="n">
        <x:f>M86/1000000*VLOOKUP(H86,'Model Rates'!$A$2:$C$5,2,FALSE)+N86/1000000*VLOOKUP(H86,'Model Rates'!$A$2:$C$5,3,FALSE)</x:f>
        <x:v>0.00216</x:v>
      </x:c>
      <x:c r="Q86" t="str">
        <x:v>v1.9</x:v>
      </x:c>
      <x:c r="R86" t="n">
        <x:v>0</x:v>
      </x:c>
      <x:c r="S86" s="1" t="b">
        <x:v>1</x:v>
      </x:c>
      <x:c r="T86" t="str">
        <x:v>review</x:v>
      </x:c>
      <x:c r="U86" s="16" t="n">
        <x:v>0.211</x:v>
      </x:c>
      <x:c r="V86" s="16" t="n">
        <x:v>1</x:v>
      </x:c>
      <x:c r="W86" s="16" t="n">
        <x:v>0.869</x:v>
      </x:c>
      <x:c r="X86" t="str">
        <x:v>negative</x:v>
      </x:c>
      <x:c r="Y86" t="str"/>
    </x:row>
    <x:row r="87">
      <x:c r="A87" s="12" t="n">
        <x:v>46243.294016203705</x:v>
      </x:c>
      <x:c r="B87" t="str">
        <x:v>tr_ea3f8e8b1879</x:v>
      </x:c>
      <x:c r="C87" t="str">
        <x:v>sp_9f39907a25</x:v>
      </x:c>
      <x:c r="D87" t="str">
        <x:v>req_3d3d43113a6f</x:v>
      </x:c>
      <x:c r="E87" t="str">
        <x:v>search-assistant</x:v>
      </x:c>
      <x:c r="F87" t="str">
        <x:v>prod</x:v>
      </x:c>
      <x:c r="G87" t="str">
        <x:v>pro</x:v>
      </x:c>
      <x:c r="H87" t="str">
        <x:v>claude-sonnet</x:v>
      </x:c>
      <x:c r="I87" t="str">
        <x:v>tool_agent</x:v>
      </x:c>
      <x:c r="J87" t="str">
        <x:v>success</x:v>
      </x:c>
      <x:c r="K87" t="n">
        <x:v>1933</x:v>
      </x:c>
      <x:c r="L87" t="n">
        <x:v>342</x:v>
      </x:c>
      <x:c r="M87" t="n">
        <x:v>1280</x:v>
      </x:c>
      <x:c r="N87" t="n">
        <x:v>691</x:v>
      </x:c>
      <x:c r="O87" t="n">
        <x:f>M87+N87</x:f>
        <x:v>1971</x:v>
      </x:c>
      <x:c r="P87" s="14" t="n">
        <x:f>M87/1000000*VLOOKUP(H87,'Model Rates'!$A$2:$C$5,2,FALSE)+N87/1000000*VLOOKUP(H87,'Model Rates'!$A$2:$C$5,3,FALSE)</x:f>
        <x:v>0.014204999999999999</x:v>
      </x:c>
      <x:c r="Q87" t="str">
        <x:v>v1.9</x:v>
      </x:c>
      <x:c r="R87" t="n">
        <x:v>0</x:v>
      </x:c>
      <x:c r="S87" s="1" t="b">
        <x:v>0</x:v>
      </x:c>
      <x:c r="T87" t="str">
        <x:v>pass</x:v>
      </x:c>
      <x:c r="U87" s="16" t="n">
        <x:v>0.087</x:v>
      </x:c>
      <x:c r="V87" s="16" t="n">
        <x:v>0.863</x:v>
      </x:c>
      <x:c r="W87" s="16" t="n">
        <x:v>0.992</x:v>
      </x:c>
      <x:c r="X87" t="str">
        <x:v>negative</x:v>
      </x:c>
      <x:c r="Y87" t="str"/>
    </x:row>
    <x:row r="88">
      <x:c r="A88" s="12" t="n">
        <x:v>46243.29890046296</x:v>
      </x:c>
      <x:c r="B88" t="str">
        <x:v>tr_7a0dc17bdcda</x:v>
      </x:c>
      <x:c r="C88" t="str">
        <x:v>sp_4627356d6e</x:v>
      </x:c>
      <x:c r="D88" t="str">
        <x:v>req_725fa93c62c4</x:v>
      </x:c>
      <x:c r="E88" t="str">
        <x:v>support-copilot</x:v>
      </x:c>
      <x:c r="F88" t="str">
        <x:v>staging</x:v>
      </x:c>
      <x:c r="G88" t="str">
        <x:v>enterprise</x:v>
      </x:c>
      <x:c r="H88" t="str">
        <x:v>gpt-5-mini</x:v>
      </x:c>
      <x:c r="I88" t="str">
        <x:v>summarization</x:v>
      </x:c>
      <x:c r="J88" t="str">
        <x:v>success</x:v>
      </x:c>
      <x:c r="K88" t="n">
        <x:v>1626</x:v>
      </x:c>
      <x:c r="L88" t="n">
        <x:v>206</x:v>
      </x:c>
      <x:c r="M88" t="n">
        <x:v>1090</x:v>
      </x:c>
      <x:c r="N88" t="n">
        <x:v>559</x:v>
      </x:c>
      <x:c r="O88" t="n">
        <x:f>M88+N88</x:f>
        <x:v>1649</x:v>
      </x:c>
      <x:c r="P88" s="14" t="n">
        <x:f>M88/1000000*VLOOKUP(H88,'Model Rates'!$A$2:$C$5,2,FALSE)+N88/1000000*VLOOKUP(H88,'Model Rates'!$A$2:$C$5,3,FALSE)</x:f>
        <x:v>0.0013304</x:v>
      </x:c>
      <x:c r="Q88" t="str">
        <x:v>v2.0</x:v>
      </x:c>
      <x:c r="R88" t="n">
        <x:v>1</x:v>
      </x:c>
      <x:c r="S88" s="1" t="b">
        <x:v>0</x:v>
      </x:c>
      <x:c r="T88" t="str">
        <x:v>blocked</x:v>
      </x:c>
      <x:c r="U88" s="16" t="n">
        <x:v>0.041</x:v>
      </x:c>
      <x:c r="V88" s="16" t="n">
        <x:v>0.792</x:v>
      </x:c>
      <x:c r="W88" s="16" t="n">
        <x:v>1</x:v>
      </x:c>
      <x:c r="X88" t="str">
        <x:v>none</x:v>
      </x:c>
      <x:c r="Y88" t="str"/>
    </x:row>
    <x:row r="89">
      <x:c r="A89" s="12" t="n">
        <x:v>46243.30204861111</x:v>
      </x:c>
      <x:c r="B89" t="str">
        <x:v>tr_3ad2b7db913c</x:v>
      </x:c>
      <x:c r="C89" t="str">
        <x:v>sp_5a1d24c13f</x:v>
      </x:c>
      <x:c r="D89" t="str">
        <x:v>req_1ab92c2ee372</x:v>
      </x:c>
      <x:c r="E89" t="str">
        <x:v>agent-workflow</x:v>
      </x:c>
      <x:c r="F89" t="str">
        <x:v>prod</x:v>
      </x:c>
      <x:c r="G89" t="str">
        <x:v>pro</x:v>
      </x:c>
      <x:c r="H89" t="str">
        <x:v>gpt-5-mini</x:v>
      </x:c>
      <x:c r="I89" t="str">
        <x:v>chat_completion</x:v>
      </x:c>
      <x:c r="J89" t="str">
        <x:v>success</x:v>
      </x:c>
      <x:c r="K89" t="n">
        <x:v>2624</x:v>
      </x:c>
      <x:c r="L89" t="n">
        <x:v>171</x:v>
      </x:c>
      <x:c r="M89" t="n">
        <x:v>1151</x:v>
      </x:c>
      <x:c r="N89" t="n">
        <x:v>255</x:v>
      </x:c>
      <x:c r="O89" t="n">
        <x:f>M89+N89</x:f>
        <x:v>1406</x:v>
      </x:c>
      <x:c r="P89" s="14" t="n">
        <x:f>M89/1000000*VLOOKUP(H89,'Model Rates'!$A$2:$C$5,2,FALSE)+N89/1000000*VLOOKUP(H89,'Model Rates'!$A$2:$C$5,3,FALSE)</x:f>
        <x:v>0.0008684000000000001</x:v>
      </x:c>
      <x:c r="Q89" t="str">
        <x:v>v1.9</x:v>
      </x:c>
      <x:c r="R89" t="n">
        <x:v>3</x:v>
      </x:c>
      <x:c r="S89" s="1" t="b">
        <x:v>0</x:v>
      </x:c>
      <x:c r="T89" t="str">
        <x:v>pass</x:v>
      </x:c>
      <x:c r="U89" s="16" t="n">
        <x:v>0</x:v>
      </x:c>
      <x:c r="V89" s="16" t="n">
        <x:v>0.874</x:v>
      </x:c>
      <x:c r="W89" s="16" t="n">
        <x:v>0.859</x:v>
      </x:c>
      <x:c r="X89" t="str">
        <x:v>positive</x:v>
      </x:c>
      <x:c r="Y89" t="str"/>
    </x:row>
    <x:row r="90">
      <x:c r="A90" s="12" t="n">
        <x:v>46243.30302083334</x:v>
      </x:c>
      <x:c r="B90" t="str">
        <x:v>tr_ec1df94ba3f0</x:v>
      </x:c>
      <x:c r="C90" t="str">
        <x:v>sp_f89a072af9</x:v>
      </x:c>
      <x:c r="D90" t="str">
        <x:v>req_5d74e348b79c</x:v>
      </x:c>
      <x:c r="E90" t="str">
        <x:v>search-assistant</x:v>
      </x:c>
      <x:c r="F90" t="str">
        <x:v>prod</x:v>
      </x:c>
      <x:c r="G90" t="str">
        <x:v>free</x:v>
      </x:c>
      <x:c r="H90" t="str">
        <x:v>claude-sonnet</x:v>
      </x:c>
      <x:c r="I90" t="str">
        <x:v>tool_agent</x:v>
      </x:c>
      <x:c r="J90" t="str">
        <x:v>success</x:v>
      </x:c>
      <x:c r="K90" t="n">
        <x:v>2146</x:v>
      </x:c>
      <x:c r="L90" t="n">
        <x:v>176</x:v>
      </x:c>
      <x:c r="M90" t="n">
        <x:v>351</x:v>
      </x:c>
      <x:c r="N90" t="n">
        <x:v>676</x:v>
      </x:c>
      <x:c r="O90" t="n">
        <x:f>M90+N90</x:f>
        <x:v>1027</x:v>
      </x:c>
      <x:c r="P90" s="14" t="n">
        <x:f>M90/1000000*VLOOKUP(H90,'Model Rates'!$A$2:$C$5,2,FALSE)+N90/1000000*VLOOKUP(H90,'Model Rates'!$A$2:$C$5,3,FALSE)</x:f>
        <x:v>0.011193</x:v>
      </x:c>
      <x:c r="Q90" t="str">
        <x:v>v1.9</x:v>
      </x:c>
      <x:c r="R90" t="n">
        <x:v>0</x:v>
      </x:c>
      <x:c r="S90" s="1" t="b">
        <x:v>1</x:v>
      </x:c>
      <x:c r="T90" t="str">
        <x:v>pass</x:v>
      </x:c>
      <x:c r="U90" s="16" t="n">
        <x:v>0.019</x:v>
      </x:c>
      <x:c r="V90" s="16" t="n">
        <x:v>0.889</x:v>
      </x:c>
      <x:c r="W90" s="16" t="n">
        <x:v>0.785</x:v>
      </x:c>
      <x:c r="X90" t="str">
        <x:v>none</x:v>
      </x:c>
      <x:c r="Y90" t="str"/>
    </x:row>
    <x:row r="91">
      <x:c r="A91" s="12" t="n">
        <x:v>46243.30769675926</x:v>
      </x:c>
      <x:c r="B91" t="str">
        <x:v>tr_07b934743a29</x:v>
      </x:c>
      <x:c r="C91" t="str">
        <x:v>sp_4a36cce08f</x:v>
      </x:c>
      <x:c r="D91" t="str">
        <x:v>req_cb90e0556e79</x:v>
      </x:c>
      <x:c r="E91" t="str">
        <x:v>support-copilot</x:v>
      </x:c>
      <x:c r="F91" t="str">
        <x:v>prod</x:v>
      </x:c>
      <x:c r="G91" t="str">
        <x:v>enterprise</x:v>
      </x:c>
      <x:c r="H91" t="str">
        <x:v>claude-sonnet</x:v>
      </x:c>
      <x:c r="I91" t="str">
        <x:v>retrieval_answer</x:v>
      </x:c>
      <x:c r="J91" t="str">
        <x:v>success</x:v>
      </x:c>
      <x:c r="K91" t="n">
        <x:v>2089</x:v>
      </x:c>
      <x:c r="L91" t="n">
        <x:v>411</x:v>
      </x:c>
      <x:c r="M91" t="n">
        <x:v>1888</x:v>
      </x:c>
      <x:c r="N91" t="n">
        <x:v>191</x:v>
      </x:c>
      <x:c r="O91" t="n">
        <x:f>M91+N91</x:f>
        <x:v>2079</x:v>
      </x:c>
      <x:c r="P91" s="14" t="n">
        <x:f>M91/1000000*VLOOKUP(H91,'Model Rates'!$A$2:$C$5,2,FALSE)+N91/1000000*VLOOKUP(H91,'Model Rates'!$A$2:$C$5,3,FALSE)</x:f>
        <x:v>0.008529</x:v>
      </x:c>
      <x:c r="Q91" t="str">
        <x:v>v2.0</x:v>
      </x:c>
      <x:c r="R91" t="n">
        <x:v>0</x:v>
      </x:c>
      <x:c r="S91" s="1" t="b">
        <x:v>0</x:v>
      </x:c>
      <x:c r="T91" t="str">
        <x:v>pass</x:v>
      </x:c>
      <x:c r="U91" s="16" t="n">
        <x:v>0.002</x:v>
      </x:c>
      <x:c r="V91" s="16" t="n">
        <x:v>0.732</x:v>
      </x:c>
      <x:c r="W91" s="16" t="n">
        <x:v>1</x:v>
      </x:c>
      <x:c r="X91" t="str">
        <x:v>none</x:v>
      </x:c>
      <x:c r="Y91" t="str"/>
    </x:row>
    <x:row r="92">
      <x:c r="A92" s="12" t="n">
        <x:v>46243.31452546296</x:v>
      </x:c>
      <x:c r="B92" t="str">
        <x:v>tr_019631429b1b</x:v>
      </x:c>
      <x:c r="C92" t="str">
        <x:v>sp_7947fe46ed</x:v>
      </x:c>
      <x:c r="D92" t="str">
        <x:v>req_9b34f4597f96</x:v>
      </x:c>
      <x:c r="E92" t="str">
        <x:v>agent-workflow</x:v>
      </x:c>
      <x:c r="F92" t="str">
        <x:v>prod</x:v>
      </x:c>
      <x:c r="G92" t="str">
        <x:v>free</x:v>
      </x:c>
      <x:c r="H92" t="str">
        <x:v>claude-sonnet</x:v>
      </x:c>
      <x:c r="I92" t="str">
        <x:v>tool_agent</x:v>
      </x:c>
      <x:c r="J92" t="str">
        <x:v>success</x:v>
      </x:c>
      <x:c r="K92" t="n">
        <x:v>1304</x:v>
      </x:c>
      <x:c r="L92" t="n">
        <x:v>264</x:v>
      </x:c>
      <x:c r="M92" t="n">
        <x:v>308</x:v>
      </x:c>
      <x:c r="N92" t="n">
        <x:v>180</x:v>
      </x:c>
      <x:c r="O92" t="n">
        <x:f>M92+N92</x:f>
        <x:v>488</x:v>
      </x:c>
      <x:c r="P92" s="14" t="n">
        <x:f>M92/1000000*VLOOKUP(H92,'Model Rates'!$A$2:$C$5,2,FALSE)+N92/1000000*VLOOKUP(H92,'Model Rates'!$A$2:$C$5,3,FALSE)</x:f>
        <x:v>0.003624</x:v>
      </x:c>
      <x:c r="Q92" t="str">
        <x:v>v1.9</x:v>
      </x:c>
      <x:c r="R92" t="n">
        <x:v>0</x:v>
      </x:c>
      <x:c r="S92" s="1" t="b">
        <x:v>1</x:v>
      </x:c>
      <x:c r="T92" t="str">
        <x:v>review</x:v>
      </x:c>
      <x:c r="U92" s="16" t="n">
        <x:v>0.126</x:v>
      </x:c>
      <x:c r="V92" s="16" t="n">
        <x:v>1</x:v>
      </x:c>
      <x:c r="W92" s="16" t="n">
        <x:v>0.808</x:v>
      </x:c>
      <x:c r="X92" t="str">
        <x:v>none</x:v>
      </x:c>
      <x:c r="Y92" t="str"/>
    </x:row>
    <x:row r="93">
      <x:c r="A93" s="12" t="n">
        <x:v>46243.31826388889</x:v>
      </x:c>
      <x:c r="B93" t="str">
        <x:v>tr_f2f6c90036ce</x:v>
      </x:c>
      <x:c r="C93" t="str">
        <x:v>sp_663be47ff6</x:v>
      </x:c>
      <x:c r="D93" t="str">
        <x:v>req_b50a0537ac77</x:v>
      </x:c>
      <x:c r="E93" t="str">
        <x:v>search-assistant</x:v>
      </x:c>
      <x:c r="F93" t="str">
        <x:v>prod</x:v>
      </x:c>
      <x:c r="G93" t="str">
        <x:v>enterprise</x:v>
      </x:c>
      <x:c r="H93" t="str">
        <x:v>claude-sonnet</x:v>
      </x:c>
      <x:c r="I93" t="str">
        <x:v>retrieval_answer</x:v>
      </x:c>
      <x:c r="J93" t="str">
        <x:v>success</x:v>
      </x:c>
      <x:c r="K93" t="n">
        <x:v>1305</x:v>
      </x:c>
      <x:c r="L93" t="n">
        <x:v>318</x:v>
      </x:c>
      <x:c r="M93" t="n">
        <x:v>704</x:v>
      </x:c>
      <x:c r="N93" t="n">
        <x:v>195</x:v>
      </x:c>
      <x:c r="O93" t="n">
        <x:f>M93+N93</x:f>
        <x:v>899</x:v>
      </x:c>
      <x:c r="P93" s="14" t="n">
        <x:f>M93/1000000*VLOOKUP(H93,'Model Rates'!$A$2:$C$5,2,FALSE)+N93/1000000*VLOOKUP(H93,'Model Rates'!$A$2:$C$5,3,FALSE)</x:f>
        <x:v>0.005037</x:v>
      </x:c>
      <x:c r="Q93" t="str">
        <x:v>v2.0</x:v>
      </x:c>
      <x:c r="R93" t="n">
        <x:v>0</x:v>
      </x:c>
      <x:c r="S93" s="1" t="b">
        <x:v>1</x:v>
      </x:c>
      <x:c r="T93" t="str">
        <x:v>pass</x:v>
      </x:c>
      <x:c r="U93" s="16" t="n">
        <x:v>0.1</x:v>
      </x:c>
      <x:c r="V93" s="16" t="n">
        <x:v>0.769</x:v>
      </x:c>
      <x:c r="W93" s="16" t="n">
        <x:v>0.759</x:v>
      </x:c>
      <x:c r="X93" t="str">
        <x:v>none</x:v>
      </x:c>
      <x:c r="Y93" t="str"/>
    </x:row>
    <x:row r="94">
      <x:c r="A94" s="12" t="n">
        <x:v>46243.318391203706</x:v>
      </x:c>
      <x:c r="B94" t="str">
        <x:v>tr_9bd6a7c412af</x:v>
      </x:c>
      <x:c r="C94" t="str">
        <x:v>sp_b572813105</x:v>
      </x:c>
      <x:c r="D94" t="str">
        <x:v>req_12a886719590</x:v>
      </x:c>
      <x:c r="E94" t="str">
        <x:v>doc-summarizer</x:v>
      </x:c>
      <x:c r="F94" t="str">
        <x:v>prod</x:v>
      </x:c>
      <x:c r="G94" t="str">
        <x:v>pro</x:v>
      </x:c>
      <x:c r="H94" t="str">
        <x:v>claude-sonnet</x:v>
      </x:c>
      <x:c r="I94" t="str">
        <x:v>retrieval_answer</x:v>
      </x:c>
      <x:c r="J94" t="str">
        <x:v>success</x:v>
      </x:c>
      <x:c r="K94" t="n">
        <x:v>1051</x:v>
      </x:c>
      <x:c r="L94" t="n">
        <x:v>334</x:v>
      </x:c>
      <x:c r="M94" t="n">
        <x:v>603</x:v>
      </x:c>
      <x:c r="N94" t="n">
        <x:v>183</x:v>
      </x:c>
      <x:c r="O94" t="n">
        <x:f>M94+N94</x:f>
        <x:v>786</x:v>
      </x:c>
      <x:c r="P94" s="14" t="n">
        <x:f>M94/1000000*VLOOKUP(H94,'Model Rates'!$A$2:$C$5,2,FALSE)+N94/1000000*VLOOKUP(H94,'Model Rates'!$A$2:$C$5,3,FALSE)</x:f>
        <x:v>0.004554</x:v>
      </x:c>
      <x:c r="Q94" t="str">
        <x:v>v2.0</x:v>
      </x:c>
      <x:c r="R94" t="n">
        <x:v>0</x:v>
      </x:c>
      <x:c r="S94" s="1" t="b">
        <x:v>0</x:v>
      </x:c>
      <x:c r="T94" t="str">
        <x:v>blocked</x:v>
      </x:c>
      <x:c r="U94" s="16" t="n">
        <x:v>0.168</x:v>
      </x:c>
      <x:c r="V94" s="16" t="n">
        <x:v>1</x:v>
      </x:c>
      <x:c r="W94" s="16" t="n">
        <x:v>0.822</x:v>
      </x:c>
      <x:c r="X94" t="str">
        <x:v>none</x:v>
      </x:c>
      <x:c r="Y94" t="str"/>
    </x:row>
    <x:row r="95">
      <x:c r="A95" s="12" t="n">
        <x:v>46243.33351851852</x:v>
      </x:c>
      <x:c r="B95" t="str">
        <x:v>tr_e9879d5f3aff</x:v>
      </x:c>
      <x:c r="C95" t="str">
        <x:v>sp_b30a1ddc77</x:v>
      </x:c>
      <x:c r="D95" t="str">
        <x:v>req_09b3a1b6cefc</x:v>
      </x:c>
      <x:c r="E95" t="str">
        <x:v>search-assistant</x:v>
      </x:c>
      <x:c r="F95" t="str">
        <x:v>prod</x:v>
      </x:c>
      <x:c r="G95" t="str">
        <x:v>pro</x:v>
      </x:c>
      <x:c r="H95" t="str">
        <x:v>gemini-pro</x:v>
      </x:c>
      <x:c r="I95" t="str">
        <x:v>tool_agent</x:v>
      </x:c>
      <x:c r="J95" t="str">
        <x:v>success</x:v>
      </x:c>
      <x:c r="K95" t="n">
        <x:v>1441</x:v>
      </x:c>
      <x:c r="L95" t="n">
        <x:v>322</x:v>
      </x:c>
      <x:c r="M95" t="n">
        <x:v>1077</x:v>
      </x:c>
      <x:c r="N95" t="n">
        <x:v>168</x:v>
      </x:c>
      <x:c r="O95" t="n">
        <x:f>M95+N95</x:f>
        <x:v>1245</x:v>
      </x:c>
      <x:c r="P95" s="14" t="n">
        <x:f>M95/1000000*VLOOKUP(H95,'Model Rates'!$A$2:$C$5,2,FALSE)+N95/1000000*VLOOKUP(H95,'Model Rates'!$A$2:$C$5,3,FALSE)</x:f>
        <x:v>0.00218625</x:v>
      </x:c>
      <x:c r="Q95" t="str">
        <x:v>v1.9</x:v>
      </x:c>
      <x:c r="R95" t="n">
        <x:v>0</x:v>
      </x:c>
      <x:c r="S95" s="1" t="b">
        <x:v>0</x:v>
      </x:c>
      <x:c r="T95" t="str">
        <x:v>pass</x:v>
      </x:c>
      <x:c r="U95" s="16" t="n">
        <x:v>0</x:v>
      </x:c>
      <x:c r="V95" s="16" t="n">
        <x:v>1</x:v>
      </x:c>
      <x:c r="W95" s="16" t="n">
        <x:v>0.838</x:v>
      </x:c>
      <x:c r="X95" t="str">
        <x:v>positive</x:v>
      </x:c>
      <x:c r="Y95" t="str"/>
    </x:row>
    <x:row r="96">
      <x:c r="A96" s="12" t="n">
        <x:v>46243.334641203706</x:v>
      </x:c>
      <x:c r="B96" t="str">
        <x:v>tr_e2e504d55e49</x:v>
      </x:c>
      <x:c r="C96" t="str">
        <x:v>sp_67d3d9dba1</x:v>
      </x:c>
      <x:c r="D96" t="str">
        <x:v>req_93597d67fce9</x:v>
      </x:c>
      <x:c r="E96" t="str">
        <x:v>agent-workflow</x:v>
      </x:c>
      <x:c r="F96" t="str">
        <x:v>prod</x:v>
      </x:c>
      <x:c r="G96" t="str">
        <x:v>pro</x:v>
      </x:c>
      <x:c r="H96" t="str">
        <x:v>gpt-5-mini</x:v>
      </x:c>
      <x:c r="I96" t="str">
        <x:v>summarization</x:v>
      </x:c>
      <x:c r="J96" t="str">
        <x:v>success</x:v>
      </x:c>
      <x:c r="K96" t="n">
        <x:v>1956</x:v>
      </x:c>
      <x:c r="L96" t="n">
        <x:v>342</x:v>
      </x:c>
      <x:c r="M96" t="n">
        <x:v>380</x:v>
      </x:c>
      <x:c r="N96" t="n">
        <x:v>427</x:v>
      </x:c>
      <x:c r="O96" t="n">
        <x:f>M96+N96</x:f>
        <x:v>807</x:v>
      </x:c>
      <x:c r="P96" s="14" t="n">
        <x:f>M96/1000000*VLOOKUP(H96,'Model Rates'!$A$2:$C$5,2,FALSE)+N96/1000000*VLOOKUP(H96,'Model Rates'!$A$2:$C$5,3,FALSE)</x:f>
        <x:v>0.0008352000000000001</x:v>
      </x:c>
      <x:c r="Q96" t="str">
        <x:v>v1.8</x:v>
      </x:c>
      <x:c r="R96" t="n">
        <x:v>2</x:v>
      </x:c>
      <x:c r="S96" s="1" t="b">
        <x:v>1</x:v>
      </x:c>
      <x:c r="T96" t="str">
        <x:v>pass</x:v>
      </x:c>
      <x:c r="U96" s="16" t="n">
        <x:v>0.063</x:v>
      </x:c>
      <x:c r="V96" s="16" t="n">
        <x:v>0.868</x:v>
      </x:c>
      <x:c r="W96" s="16" t="n">
        <x:v>0.738</x:v>
      </x:c>
      <x:c r="X96" t="str">
        <x:v>none</x:v>
      </x:c>
      <x:c r="Y96" t="str"/>
    </x:row>
    <x:row r="97">
      <x:c r="A97" s="12" t="n">
        <x:v>46243.33474537037</x:v>
      </x:c>
      <x:c r="B97" t="str">
        <x:v>tr_a29866a6a4fb</x:v>
      </x:c>
      <x:c r="C97" t="str">
        <x:v>sp_8a827f50b6</x:v>
      </x:c>
      <x:c r="D97" t="str">
        <x:v>req_f4d81e80886f</x:v>
      </x:c>
      <x:c r="E97" t="str">
        <x:v>agent-workflow</x:v>
      </x:c>
      <x:c r="F97" t="str">
        <x:v>prod</x:v>
      </x:c>
      <x:c r="G97" t="str">
        <x:v>free</x:v>
      </x:c>
      <x:c r="H97" t="str">
        <x:v>gpt-5-mini</x:v>
      </x:c>
      <x:c r="I97" t="str">
        <x:v>tool_agent</x:v>
      </x:c>
      <x:c r="J97" t="str">
        <x:v>success</x:v>
      </x:c>
      <x:c r="K97" t="n">
        <x:v>1676</x:v>
      </x:c>
      <x:c r="L97" t="n">
        <x:v>229</x:v>
      </x:c>
      <x:c r="M97" t="n">
        <x:v>2019</x:v>
      </x:c>
      <x:c r="N97" t="n">
        <x:v>229</x:v>
      </x:c>
      <x:c r="O97" t="n">
        <x:f>M97+N97</x:f>
        <x:v>2248</x:v>
      </x:c>
      <x:c r="P97" s="14" t="n">
        <x:f>M97/1000000*VLOOKUP(H97,'Model Rates'!$A$2:$C$5,2,FALSE)+N97/1000000*VLOOKUP(H97,'Model Rates'!$A$2:$C$5,3,FALSE)</x:f>
        <x:v>0.0011740000000000001</x:v>
      </x:c>
      <x:c r="Q97" t="str">
        <x:v>v1.9</x:v>
      </x:c>
      <x:c r="R97" t="n">
        <x:v>1</x:v>
      </x:c>
      <x:c r="S97" s="1" t="b">
        <x:v>0</x:v>
      </x:c>
      <x:c r="T97" t="str">
        <x:v>blocked</x:v>
      </x:c>
      <x:c r="U97" s="16" t="n">
        <x:v>0.14</x:v>
      </x:c>
      <x:c r="V97" s="16" t="n">
        <x:v>0.834</x:v>
      </x:c>
      <x:c r="W97" s="16" t="n">
        <x:v>0.823</x:v>
      </x:c>
      <x:c r="X97" t="str">
        <x:v>negative</x:v>
      </x:c>
      <x:c r="Y97" t="str"/>
    </x:row>
    <x:row r="98">
      <x:c r="A98" s="12" t="n">
        <x:v>46243.340150462966</x:v>
      </x:c>
      <x:c r="B98" t="str">
        <x:v>tr_a76b6448d4ca</x:v>
      </x:c>
      <x:c r="C98" t="str">
        <x:v>sp_dc3bfee248</x:v>
      </x:c>
      <x:c r="D98" t="str">
        <x:v>req_eaabde438f0a</x:v>
      </x:c>
      <x:c r="E98" t="str">
        <x:v>support-copilot</x:v>
      </x:c>
      <x:c r="F98" t="str">
        <x:v>prod</x:v>
      </x:c>
      <x:c r="G98" t="str">
        <x:v>enterprise</x:v>
      </x:c>
      <x:c r="H98" t="str">
        <x:v>gpt-5</x:v>
      </x:c>
      <x:c r="I98" t="str">
        <x:v>tool_agent</x:v>
      </x:c>
      <x:c r="J98" t="str">
        <x:v>success</x:v>
      </x:c>
      <x:c r="K98" t="n">
        <x:v>1342</x:v>
      </x:c>
      <x:c r="L98" t="n">
        <x:v>447</x:v>
      </x:c>
      <x:c r="M98" t="n">
        <x:v>2263</x:v>
      </x:c>
      <x:c r="N98" t="n">
        <x:v>162</x:v>
      </x:c>
      <x:c r="O98" t="n">
        <x:f>M98+N98</x:f>
        <x:v>2425</x:v>
      </x:c>
      <x:c r="P98" s="14" t="n">
        <x:f>M98/1000000*VLOOKUP(H98,'Model Rates'!$A$2:$C$5,2,FALSE)+N98/1000000*VLOOKUP(H98,'Model Rates'!$A$2:$C$5,3,FALSE)</x:f>
        <x:v>0.00444875</x:v>
      </x:c>
      <x:c r="Q98" t="str">
        <x:v>v1.8</x:v>
      </x:c>
      <x:c r="R98" t="n">
        <x:v>0</x:v>
      </x:c>
      <x:c r="S98" s="1" t="b">
        <x:v>0</x:v>
      </x:c>
      <x:c r="T98" t="str">
        <x:v>review</x:v>
      </x:c>
      <x:c r="U98" s="16" t="n">
        <x:v>0.177</x:v>
      </x:c>
      <x:c r="V98" s="16" t="n">
        <x:v>0.783</x:v>
      </x:c>
      <x:c r="W98" s="16" t="n">
        <x:v>0.746</x:v>
      </x:c>
      <x:c r="X98" t="str">
        <x:v>none</x:v>
      </x:c>
      <x:c r="Y98" t="str"/>
    </x:row>
    <x:row r="99">
      <x:c r="A99" s="12" t="n">
        <x:v>46243.34054398148</x:v>
      </x:c>
      <x:c r="B99" t="str">
        <x:v>tr_bced3bbf3706</x:v>
      </x:c>
      <x:c r="C99" t="str">
        <x:v>sp_7770dd0b62</x:v>
      </x:c>
      <x:c r="D99" t="str">
        <x:v>req_1c9d5902e4a3</x:v>
      </x:c>
      <x:c r="E99" t="str">
        <x:v>support-copilot</x:v>
      </x:c>
      <x:c r="F99" t="str">
        <x:v>staging</x:v>
      </x:c>
      <x:c r="G99" t="str">
        <x:v>pro</x:v>
      </x:c>
      <x:c r="H99" t="str">
        <x:v>gpt-5-mini</x:v>
      </x:c>
      <x:c r="I99" t="str">
        <x:v>tool_agent</x:v>
      </x:c>
      <x:c r="J99" t="str">
        <x:v>error</x:v>
      </x:c>
      <x:c r="K99" t="n">
        <x:v>1001</x:v>
      </x:c>
      <x:c r="L99" t="n">
        <x:v>299</x:v>
      </x:c>
      <x:c r="M99" t="n">
        <x:v>318</x:v>
      </x:c>
      <x:c r="N99" t="n">
        <x:v>154</x:v>
      </x:c>
      <x:c r="O99" t="n">
        <x:f>M99+N99</x:f>
        <x:v>472</x:v>
      </x:c>
      <x:c r="P99" s="14" t="n">
        <x:f>M99/1000000*VLOOKUP(H99,'Model Rates'!$A$2:$C$5,2,FALSE)+N99/1000000*VLOOKUP(H99,'Model Rates'!$A$2:$C$5,3,FALSE)</x:f>
        <x:v>0.00037360000000000003</x:v>
      </x:c>
      <x:c r="Q99" t="str">
        <x:v>v2.0</x:v>
      </x:c>
      <x:c r="R99" t="n">
        <x:v>0</x:v>
      </x:c>
      <x:c r="S99" s="1" t="b">
        <x:v>0</x:v>
      </x:c>
      <x:c r="T99" t="str">
        <x:v>blocked</x:v>
      </x:c>
      <x:c r="U99" s="16" t="n">
        <x:v>0.201</x:v>
      </x:c>
      <x:c r="V99" s="16" t="n">
        <x:v>0.706</x:v>
      </x:c>
      <x:c r="W99" s="16" t="n">
        <x:v>0.413</x:v>
      </x:c>
      <x:c r="X99" t="str">
        <x:v>none</x:v>
      </x:c>
      <x:c r="Y99" t="str">
        <x:v>provider_5xx</x:v>
      </x:c>
    </x:row>
    <x:row r="100">
      <x:c r="A100" s="12" t="n">
        <x:v>46243.34216435185</x:v>
      </x:c>
      <x:c r="B100" t="str">
        <x:v>tr_39644cc81994</x:v>
      </x:c>
      <x:c r="C100" t="str">
        <x:v>sp_99fbcc1210</x:v>
      </x:c>
      <x:c r="D100" t="str">
        <x:v>req_159bddc328c7</x:v>
      </x:c>
      <x:c r="E100" t="str">
        <x:v>doc-summarizer</x:v>
      </x:c>
      <x:c r="F100" t="str">
        <x:v>prod</x:v>
      </x:c>
      <x:c r="G100" t="str">
        <x:v>pro</x:v>
      </x:c>
      <x:c r="H100" t="str">
        <x:v>gemini-pro</x:v>
      </x:c>
      <x:c r="I100" t="str">
        <x:v>tool_agent</x:v>
      </x:c>
      <x:c r="J100" t="str">
        <x:v>success</x:v>
      </x:c>
      <x:c r="K100" t="n">
        <x:v>1220</x:v>
      </x:c>
      <x:c r="L100" t="n">
        <x:v>227</x:v>
      </x:c>
      <x:c r="M100" t="n">
        <x:v>695</x:v>
      </x:c>
      <x:c r="N100" t="n">
        <x:v>321</x:v>
      </x:c>
      <x:c r="O100" t="n">
        <x:f>M100+N100</x:f>
        <x:v>1016</x:v>
      </x:c>
      <x:c r="P100" s="14" t="n">
        <x:f>M100/1000000*VLOOKUP(H100,'Model Rates'!$A$2:$C$5,2,FALSE)+N100/1000000*VLOOKUP(H100,'Model Rates'!$A$2:$C$5,3,FALSE)</x:f>
        <x:v>0.0024737500000000003</x:v>
      </x:c>
      <x:c r="Q100" t="str">
        <x:v>v1.9</x:v>
      </x:c>
      <x:c r="R100" t="n">
        <x:v>0</x:v>
      </x:c>
      <x:c r="S100" s="1" t="b">
        <x:v>0</x:v>
      </x:c>
      <x:c r="T100" t="str">
        <x:v>pass</x:v>
      </x:c>
      <x:c r="U100" s="16" t="n">
        <x:v>0.195</x:v>
      </x:c>
      <x:c r="V100" s="16" t="n">
        <x:v>0.966</x:v>
      </x:c>
      <x:c r="W100" s="16" t="n">
        <x:v>0.973</x:v>
      </x:c>
      <x:c r="X100" t="str">
        <x:v>positive</x:v>
      </x:c>
      <x:c r="Y100" t="str"/>
    </x:row>
    <x:row r="101">
      <x:c r="A101" s="12" t="n">
        <x:v>46243.343298611115</x:v>
      </x:c>
      <x:c r="B101" t="str">
        <x:v>tr_bf1e4daae82e</x:v>
      </x:c>
      <x:c r="C101" t="str">
        <x:v>sp_eda49fd870</x:v>
      </x:c>
      <x:c r="D101" t="str">
        <x:v>req_7e0a2569f030</x:v>
      </x:c>
      <x:c r="E101" t="str">
        <x:v>search-assistant</x:v>
      </x:c>
      <x:c r="F101" t="str">
        <x:v>prod</x:v>
      </x:c>
      <x:c r="G101" t="str">
        <x:v>free</x:v>
      </x:c>
      <x:c r="H101" t="str">
        <x:v>gpt-5</x:v>
      </x:c>
      <x:c r="I101" t="str">
        <x:v>chat_completion</x:v>
      </x:c>
      <x:c r="J101" t="str">
        <x:v>error</x:v>
      </x:c>
      <x:c r="K101" t="n">
        <x:v>3336</x:v>
      </x:c>
      <x:c r="L101" t="n">
        <x:v>197</x:v>
      </x:c>
      <x:c r="M101" t="n">
        <x:v>594</x:v>
      </x:c>
      <x:c r="N101" t="n">
        <x:v>327</x:v>
      </x:c>
      <x:c r="O101" t="n">
        <x:f>M101+N101</x:f>
        <x:v>921</x:v>
      </x:c>
      <x:c r="P101" s="14" t="n">
        <x:f>M101/1000000*VLOOKUP(H101,'Model Rates'!$A$2:$C$5,2,FALSE)+N101/1000000*VLOOKUP(H101,'Model Rates'!$A$2:$C$5,3,FALSE)</x:f>
        <x:v>0.0040125</x:v>
      </x:c>
      <x:c r="Q101" t="str">
        <x:v>v1.8</x:v>
      </x:c>
      <x:c r="R101" t="n">
        <x:v>3</x:v>
      </x:c>
      <x:c r="S101" s="1" t="b">
        <x:v>0</x:v>
      </x:c>
      <x:c r="T101" t="str">
        <x:v>pass</x:v>
      </x:c>
      <x:c r="U101" s="16" t="n">
        <x:v>0.166</x:v>
      </x:c>
      <x:c r="V101" s="16" t="n">
        <x:v>0.803</x:v>
      </x:c>
      <x:c r="W101" s="16" t="n">
        <x:v>0.467</x:v>
      </x:c>
      <x:c r="X101" t="str">
        <x:v>negative</x:v>
      </x:c>
      <x:c r="Y101" t="str">
        <x:v>provider_5xx</x:v>
      </x:c>
    </x:row>
    <x:row r="102">
      <x:c r="A102" s="12" t="n">
        <x:v>46243.343668981484</x:v>
      </x:c>
      <x:c r="B102" t="str">
        <x:v>tr_06d4828230dc</x:v>
      </x:c>
      <x:c r="C102" t="str">
        <x:v>sp_75dbce034b</x:v>
      </x:c>
      <x:c r="D102" t="str">
        <x:v>req_bb1d9e5bbc11</x:v>
      </x:c>
      <x:c r="E102" t="str">
        <x:v>search-assistant</x:v>
      </x:c>
      <x:c r="F102" t="str">
        <x:v>prod</x:v>
      </x:c>
      <x:c r="G102" t="str">
        <x:v>enterprise</x:v>
      </x:c>
      <x:c r="H102" t="str">
        <x:v>gemini-pro</x:v>
      </x:c>
      <x:c r="I102" t="str">
        <x:v>chat_completion</x:v>
      </x:c>
      <x:c r="J102" t="str">
        <x:v>success</x:v>
      </x:c>
      <x:c r="K102" t="n">
        <x:v>1657</x:v>
      </x:c>
      <x:c r="L102" t="n">
        <x:v>204</x:v>
      </x:c>
      <x:c r="M102" t="n">
        <x:v>915</x:v>
      </x:c>
      <x:c r="N102" t="n">
        <x:v>418</x:v>
      </x:c>
      <x:c r="O102" t="n">
        <x:f>M102+N102</x:f>
        <x:v>1333</x:v>
      </x:c>
      <x:c r="P102" s="14" t="n">
        <x:f>M102/1000000*VLOOKUP(H102,'Model Rates'!$A$2:$C$5,2,FALSE)+N102/1000000*VLOOKUP(H102,'Model Rates'!$A$2:$C$5,3,FALSE)</x:f>
        <x:v>0.0032337500000000005</x:v>
      </x:c>
      <x:c r="Q102" t="str">
        <x:v>v1.8</x:v>
      </x:c>
      <x:c r="R102" t="n">
        <x:v>1</x:v>
      </x:c>
      <x:c r="S102" s="1" t="b">
        <x:v>0</x:v>
      </x:c>
      <x:c r="T102" t="str">
        <x:v>pass</x:v>
      </x:c>
      <x:c r="U102" s="16" t="n">
        <x:v>0</x:v>
      </x:c>
      <x:c r="V102" s="16" t="n">
        <x:v>0.818</x:v>
      </x:c>
      <x:c r="W102" s="16" t="n">
        <x:v>0.952</x:v>
      </x:c>
      <x:c r="X102" t="str">
        <x:v>none</x:v>
      </x:c>
      <x:c r="Y102" t="str"/>
    </x:row>
    <x:row r="103">
      <x:c r="A103" s="12" t="n">
        <x:v>46243.34673611111</x:v>
      </x:c>
      <x:c r="B103" t="str">
        <x:v>tr_dcce8a654909</x:v>
      </x:c>
      <x:c r="C103" t="str">
        <x:v>sp_365958de75</x:v>
      </x:c>
      <x:c r="D103" t="str">
        <x:v>req_75df2291ad21</x:v>
      </x:c>
      <x:c r="E103" t="str">
        <x:v>doc-summarizer</x:v>
      </x:c>
      <x:c r="F103" t="str">
        <x:v>prod</x:v>
      </x:c>
      <x:c r="G103" t="str">
        <x:v>pro</x:v>
      </x:c>
      <x:c r="H103" t="str">
        <x:v>claude-sonnet</x:v>
      </x:c>
      <x:c r="I103" t="str">
        <x:v>retrieval_answer</x:v>
      </x:c>
      <x:c r="J103" t="str">
        <x:v>success</x:v>
      </x:c>
      <x:c r="K103" t="n">
        <x:v>1709</x:v>
      </x:c>
      <x:c r="L103" t="n">
        <x:v>264</x:v>
      </x:c>
      <x:c r="M103" t="n">
        <x:v>1434</x:v>
      </x:c>
      <x:c r="N103" t="n">
        <x:v>116</x:v>
      </x:c>
      <x:c r="O103" t="n">
        <x:f>M103+N103</x:f>
        <x:v>1550</x:v>
      </x:c>
      <x:c r="P103" s="14" t="n">
        <x:f>M103/1000000*VLOOKUP(H103,'Model Rates'!$A$2:$C$5,2,FALSE)+N103/1000000*VLOOKUP(H103,'Model Rates'!$A$2:$C$5,3,FALSE)</x:f>
        <x:v>0.0060420000000000005</x:v>
      </x:c>
      <x:c r="Q103" t="str">
        <x:v>v1.9</x:v>
      </x:c>
      <x:c r="R103" t="n">
        <x:v>0</x:v>
      </x:c>
      <x:c r="S103" s="1" t="b">
        <x:v>0</x:v>
      </x:c>
      <x:c r="T103" t="str">
        <x:v>pass</x:v>
      </x:c>
      <x:c r="U103" s="16" t="n">
        <x:v>0.166</x:v>
      </x:c>
      <x:c r="V103" s="16" t="n">
        <x:v>0.819</x:v>
      </x:c>
      <x:c r="W103" s="16" t="n">
        <x:v>0.816</x:v>
      </x:c>
      <x:c r="X103" t="str">
        <x:v>none</x:v>
      </x:c>
      <x:c r="Y103" t="str"/>
    </x:row>
    <x:row r="104">
      <x:c r="A104" s="12" t="n">
        <x:v>46243.34840277778</x:v>
      </x:c>
      <x:c r="B104" t="str">
        <x:v>tr_b03f9c0301d2</x:v>
      </x:c>
      <x:c r="C104" t="str">
        <x:v>sp_01df9eef3f</x:v>
      </x:c>
      <x:c r="D104" t="str">
        <x:v>req_86ce22af951f</x:v>
      </x:c>
      <x:c r="E104" t="str">
        <x:v>doc-summarizer</x:v>
      </x:c>
      <x:c r="F104" t="str">
        <x:v>prod</x:v>
      </x:c>
      <x:c r="G104" t="str">
        <x:v>free</x:v>
      </x:c>
      <x:c r="H104" t="str">
        <x:v>gpt-5-mini</x:v>
      </x:c>
      <x:c r="I104" t="str">
        <x:v>chat_completion</x:v>
      </x:c>
      <x:c r="J104" t="str">
        <x:v>error</x:v>
      </x:c>
      <x:c r="K104" t="n">
        <x:v>457</x:v>
      </x:c>
      <x:c r="L104" t="n">
        <x:v>274</x:v>
      </x:c>
      <x:c r="M104" t="n">
        <x:v>5753</x:v>
      </x:c>
      <x:c r="N104" t="n">
        <x:v>421</x:v>
      </x:c>
      <x:c r="O104" t="n">
        <x:f>M104+N104</x:f>
        <x:v>6174</x:v>
      </x:c>
      <x:c r="P104" s="14" t="n">
        <x:f>M104/1000000*VLOOKUP(H104,'Model Rates'!$A$2:$C$5,2,FALSE)+N104/1000000*VLOOKUP(H104,'Model Rates'!$A$2:$C$5,3,FALSE)</x:f>
        <x:v>0.0029748</x:v>
      </x:c>
      <x:c r="Q104" t="str">
        <x:v>v2.0</x:v>
      </x:c>
      <x:c r="R104" t="n">
        <x:v>0</x:v>
      </x:c>
      <x:c r="S104" s="1" t="b">
        <x:v>0</x:v>
      </x:c>
      <x:c r="T104" t="str">
        <x:v>pass</x:v>
      </x:c>
      <x:c r="U104" s="16" t="n">
        <x:v>0.249</x:v>
      </x:c>
      <x:c r="V104" s="16" t="n">
        <x:v>0.606</x:v>
      </x:c>
      <x:c r="W104" s="16" t="n">
        <x:v>0.646</x:v>
      </x:c>
      <x:c r="X104" t="str">
        <x:v>positive</x:v>
      </x:c>
      <x:c r="Y104" t="str">
        <x:v>timeout</x:v>
      </x:c>
    </x:row>
    <x:row r="105">
      <x:c r="A105" s="12" t="n">
        <x:v>46243.34863425926</x:v>
      </x:c>
      <x:c r="B105" t="str">
        <x:v>tr_c41d20f50919</x:v>
      </x:c>
      <x:c r="C105" t="str">
        <x:v>sp_2d12fead27</x:v>
      </x:c>
      <x:c r="D105" t="str">
        <x:v>req_e034bcd84b72</x:v>
      </x:c>
      <x:c r="E105" t="str">
        <x:v>search-assistant</x:v>
      </x:c>
      <x:c r="F105" t="str">
        <x:v>prod</x:v>
      </x:c>
      <x:c r="G105" t="str">
        <x:v>free</x:v>
      </x:c>
      <x:c r="H105" t="str">
        <x:v>gpt-5-mini</x:v>
      </x:c>
      <x:c r="I105" t="str">
        <x:v>retrieval_answer</x:v>
      </x:c>
      <x:c r="J105" t="str">
        <x:v>error</x:v>
      </x:c>
      <x:c r="K105" t="n">
        <x:v>1315</x:v>
      </x:c>
      <x:c r="L105" t="n">
        <x:v>299</x:v>
      </x:c>
      <x:c r="M105" t="n">
        <x:v>2109</x:v>
      </x:c>
      <x:c r="N105" t="n">
        <x:v>561</x:v>
      </x:c>
      <x:c r="O105" t="n">
        <x:f>M105+N105</x:f>
        <x:v>2670</x:v>
      </x:c>
      <x:c r="P105" s="14" t="n">
        <x:f>M105/1000000*VLOOKUP(H105,'Model Rates'!$A$2:$C$5,2,FALSE)+N105/1000000*VLOOKUP(H105,'Model Rates'!$A$2:$C$5,3,FALSE)</x:f>
        <x:v>0.0017412</x:v>
      </x:c>
      <x:c r="Q105" t="str">
        <x:v>v1.8</x:v>
      </x:c>
      <x:c r="R105" t="n">
        <x:v>0</x:v>
      </x:c>
      <x:c r="S105" s="1" t="b">
        <x:v>0</x:v>
      </x:c>
      <x:c r="T105" t="str">
        <x:v>pass</x:v>
      </x:c>
      <x:c r="U105" s="16" t="n">
        <x:v>0.17</x:v>
      </x:c>
      <x:c r="V105" s="16" t="n">
        <x:v>0.784</x:v>
      </x:c>
      <x:c r="W105" s="16" t="n">
        <x:v>0.485</x:v>
      </x:c>
      <x:c r="X105" t="str">
        <x:v>negative</x:v>
      </x:c>
      <x:c r="Y105" t="str">
        <x:v>rate_limit</x:v>
      </x:c>
    </x:row>
    <x:row r="106">
      <x:c r="A106" s="12" t="n">
        <x:v>46243.348807870374</x:v>
      </x:c>
      <x:c r="B106" t="str">
        <x:v>tr_b81f6104e8b7</x:v>
      </x:c>
      <x:c r="C106" t="str">
        <x:v>sp_8393f94330</x:v>
      </x:c>
      <x:c r="D106" t="str">
        <x:v>req_360ccaf8a9cc</x:v>
      </x:c>
      <x:c r="E106" t="str">
        <x:v>agent-workflow</x:v>
      </x:c>
      <x:c r="F106" t="str">
        <x:v>staging</x:v>
      </x:c>
      <x:c r="G106" t="str">
        <x:v>pro</x:v>
      </x:c>
      <x:c r="H106" t="str">
        <x:v>claude-sonnet</x:v>
      </x:c>
      <x:c r="I106" t="str">
        <x:v>chat_completion</x:v>
      </x:c>
      <x:c r="J106" t="str">
        <x:v>success</x:v>
      </x:c>
      <x:c r="K106" t="n">
        <x:v>2035</x:v>
      </x:c>
      <x:c r="L106" t="n">
        <x:v>293</x:v>
      </x:c>
      <x:c r="M106" t="n">
        <x:v>1191</x:v>
      </x:c>
      <x:c r="N106" t="n">
        <x:v>186</x:v>
      </x:c>
      <x:c r="O106" t="n">
        <x:f>M106+N106</x:f>
        <x:v>1377</x:v>
      </x:c>
      <x:c r="P106" s="14" t="n">
        <x:f>M106/1000000*VLOOKUP(H106,'Model Rates'!$A$2:$C$5,2,FALSE)+N106/1000000*VLOOKUP(H106,'Model Rates'!$A$2:$C$5,3,FALSE)</x:f>
        <x:v>0.006363</x:v>
      </x:c>
      <x:c r="Q106" t="str">
        <x:v>v2.0</x:v>
      </x:c>
      <x:c r="R106" t="n">
        <x:v>1</x:v>
      </x:c>
      <x:c r="S106" s="1" t="b">
        <x:v>0</x:v>
      </x:c>
      <x:c r="T106" t="str">
        <x:v>pass</x:v>
      </x:c>
      <x:c r="U106" s="16" t="n">
        <x:v>0.046</x:v>
      </x:c>
      <x:c r="V106" s="16" t="n">
        <x:v>0.881</x:v>
      </x:c>
      <x:c r="W106" s="16" t="n">
        <x:v>0.929</x:v>
      </x:c>
      <x:c r="X106" t="str">
        <x:v>none</x:v>
      </x:c>
      <x:c r="Y106" t="str"/>
    </x:row>
    <x:row r="107">
      <x:c r="A107" s="12" t="n">
        <x:v>46243.34943287037</x:v>
      </x:c>
      <x:c r="B107" t="str">
        <x:v>tr_5073a9914db6</x:v>
      </x:c>
      <x:c r="C107" t="str">
        <x:v>sp_3b2d639364</x:v>
      </x:c>
      <x:c r="D107" t="str">
        <x:v>req_0b80ccc3b610</x:v>
      </x:c>
      <x:c r="E107" t="str">
        <x:v>doc-summarizer</x:v>
      </x:c>
      <x:c r="F107" t="str">
        <x:v>prod</x:v>
      </x:c>
      <x:c r="G107" t="str">
        <x:v>pro</x:v>
      </x:c>
      <x:c r="H107" t="str">
        <x:v>gpt-5-mini</x:v>
      </x:c>
      <x:c r="I107" t="str">
        <x:v>retrieval_answer</x:v>
      </x:c>
      <x:c r="J107" t="str">
        <x:v>success</x:v>
      </x:c>
      <x:c r="K107" t="n">
        <x:v>830</x:v>
      </x:c>
      <x:c r="L107" t="n">
        <x:v>215</x:v>
      </x:c>
      <x:c r="M107" t="n">
        <x:v>853</x:v>
      </x:c>
      <x:c r="N107" t="n">
        <x:v>329</x:v>
      </x:c>
      <x:c r="O107" t="n">
        <x:f>M107+N107</x:f>
        <x:v>1182</x:v>
      </x:c>
      <x:c r="P107" s="14" t="n">
        <x:f>M107/1000000*VLOOKUP(H107,'Model Rates'!$A$2:$C$5,2,FALSE)+N107/1000000*VLOOKUP(H107,'Model Rates'!$A$2:$C$5,3,FALSE)</x:f>
        <x:v>0.0008676000000000001</x:v>
      </x:c>
      <x:c r="Q107" t="str">
        <x:v>v2.0</x:v>
      </x:c>
      <x:c r="R107" t="n">
        <x:v>0</x:v>
      </x:c>
      <x:c r="S107" s="1" t="b">
        <x:v>1</x:v>
      </x:c>
      <x:c r="T107" t="str">
        <x:v>review</x:v>
      </x:c>
      <x:c r="U107" s="16" t="n">
        <x:v>0.155</x:v>
      </x:c>
      <x:c r="V107" s="16" t="n">
        <x:v>0.933</x:v>
      </x:c>
      <x:c r="W107" s="16" t="n">
        <x:v>0.913</x:v>
      </x:c>
      <x:c r="X107" t="str">
        <x:v>negative</x:v>
      </x:c>
      <x:c r="Y107" t="str"/>
    </x:row>
    <x:row r="108">
      <x:c r="A108" s="12" t="n">
        <x:v>46243.35030092593</x:v>
      </x:c>
      <x:c r="B108" t="str">
        <x:v>tr_e6991abce728</x:v>
      </x:c>
      <x:c r="C108" t="str">
        <x:v>sp_3addc7423c</x:v>
      </x:c>
      <x:c r="D108" t="str">
        <x:v>req_e0b14d36417a</x:v>
      </x:c>
      <x:c r="E108" t="str">
        <x:v>doc-summarizer</x:v>
      </x:c>
      <x:c r="F108" t="str">
        <x:v>prod</x:v>
      </x:c>
      <x:c r="G108" t="str">
        <x:v>pro</x:v>
      </x:c>
      <x:c r="H108" t="str">
        <x:v>gpt-5</x:v>
      </x:c>
      <x:c r="I108" t="str">
        <x:v>tool_agent</x:v>
      </x:c>
      <x:c r="J108" t="str">
        <x:v>success</x:v>
      </x:c>
      <x:c r="K108" t="n">
        <x:v>3412</x:v>
      </x:c>
      <x:c r="L108" t="n">
        <x:v>482</x:v>
      </x:c>
      <x:c r="M108" t="n">
        <x:v>905</x:v>
      </x:c>
      <x:c r="N108" t="n">
        <x:v>357</x:v>
      </x:c>
      <x:c r="O108" t="n">
        <x:f>M108+N108</x:f>
        <x:v>1262</x:v>
      </x:c>
      <x:c r="P108" s="14" t="n">
        <x:f>M108/1000000*VLOOKUP(H108,'Model Rates'!$A$2:$C$5,2,FALSE)+N108/1000000*VLOOKUP(H108,'Model Rates'!$A$2:$C$5,3,FALSE)</x:f>
        <x:v>0.004701250000000001</x:v>
      </x:c>
      <x:c r="Q108" t="str">
        <x:v>v2.0</x:v>
      </x:c>
      <x:c r="R108" t="n">
        <x:v>2</x:v>
      </x:c>
      <x:c r="S108" s="1" t="b">
        <x:v>0</x:v>
      </x:c>
      <x:c r="T108" t="str">
        <x:v>pass</x:v>
      </x:c>
      <x:c r="U108" s="16" t="n">
        <x:v>0.003</x:v>
      </x:c>
      <x:c r="V108" s="16" t="n">
        <x:v>0.945</x:v>
      </x:c>
      <x:c r="W108" s="16" t="n">
        <x:v>1</x:v>
      </x:c>
      <x:c r="X108" t="str">
        <x:v>positive</x:v>
      </x:c>
      <x:c r="Y108" t="str"/>
    </x:row>
    <x:row r="109">
      <x:c r="A109" s="12" t="n">
        <x:v>46243.35244212963</x:v>
      </x:c>
      <x:c r="B109" t="str">
        <x:v>tr_a8ae62ae5a35</x:v>
      </x:c>
      <x:c r="C109" t="str">
        <x:v>sp_dcef802d50</x:v>
      </x:c>
      <x:c r="D109" t="str">
        <x:v>req_4b8a4bf4ae33</x:v>
      </x:c>
      <x:c r="E109" t="str">
        <x:v>doc-summarizer</x:v>
      </x:c>
      <x:c r="F109" t="str">
        <x:v>prod</x:v>
      </x:c>
      <x:c r="G109" t="str">
        <x:v>free</x:v>
      </x:c>
      <x:c r="H109" t="str">
        <x:v>claude-sonnet</x:v>
      </x:c>
      <x:c r="I109" t="str">
        <x:v>summarization</x:v>
      </x:c>
      <x:c r="J109" t="str">
        <x:v>success</x:v>
      </x:c>
      <x:c r="K109" t="n">
        <x:v>1365</x:v>
      </x:c>
      <x:c r="L109" t="n">
        <x:v>442</x:v>
      </x:c>
      <x:c r="M109" t="n">
        <x:v>862</x:v>
      </x:c>
      <x:c r="N109" t="n">
        <x:v>276</x:v>
      </x:c>
      <x:c r="O109" t="n">
        <x:f>M109+N109</x:f>
        <x:v>1138</x:v>
      </x:c>
      <x:c r="P109" s="14" t="n">
        <x:f>M109/1000000*VLOOKUP(H109,'Model Rates'!$A$2:$C$5,2,FALSE)+N109/1000000*VLOOKUP(H109,'Model Rates'!$A$2:$C$5,3,FALSE)</x:f>
        <x:v>0.006725999999999999</x:v>
      </x:c>
      <x:c r="Q109" t="str">
        <x:v>v1.8</x:v>
      </x:c>
      <x:c r="R109" t="n">
        <x:v>0</x:v>
      </x:c>
      <x:c r="S109" s="1" t="b">
        <x:v>0</x:v>
      </x:c>
      <x:c r="T109" t="str">
        <x:v>pass</x:v>
      </x:c>
      <x:c r="U109" s="16" t="n">
        <x:v>0.098</x:v>
      </x:c>
      <x:c r="V109" s="16" t="n">
        <x:v>0.854</x:v>
      </x:c>
      <x:c r="W109" s="16" t="n">
        <x:v>0.569</x:v>
      </x:c>
      <x:c r="X109" t="str">
        <x:v>none</x:v>
      </x:c>
      <x:c r="Y109" t="str"/>
    </x:row>
    <x:row r="110">
      <x:c r="A110" s="12" t="n">
        <x:v>46243.35649305556</x:v>
      </x:c>
      <x:c r="B110" t="str">
        <x:v>tr_a0951177ce20</x:v>
      </x:c>
      <x:c r="C110" t="str">
        <x:v>sp_4fde69f2c4</x:v>
      </x:c>
      <x:c r="D110" t="str">
        <x:v>req_590cb928fdf3</x:v>
      </x:c>
      <x:c r="E110" t="str">
        <x:v>agent-workflow</x:v>
      </x:c>
      <x:c r="F110" t="str">
        <x:v>prod</x:v>
      </x:c>
      <x:c r="G110" t="str">
        <x:v>free</x:v>
      </x:c>
      <x:c r="H110" t="str">
        <x:v>gpt-5-mini</x:v>
      </x:c>
      <x:c r="I110" t="str">
        <x:v>retrieval_answer</x:v>
      </x:c>
      <x:c r="J110" t="str">
        <x:v>success</x:v>
      </x:c>
      <x:c r="K110" t="n">
        <x:v>945</x:v>
      </x:c>
      <x:c r="L110" t="n">
        <x:v>237</x:v>
      </x:c>
      <x:c r="M110" t="n">
        <x:v>846</x:v>
      </x:c>
      <x:c r="N110" t="n">
        <x:v>258</x:v>
      </x:c>
      <x:c r="O110" t="n">
        <x:f>M110+N110</x:f>
        <x:v>1104</x:v>
      </x:c>
      <x:c r="P110" s="14" t="n">
        <x:f>M110/1000000*VLOOKUP(H110,'Model Rates'!$A$2:$C$5,2,FALSE)+N110/1000000*VLOOKUP(H110,'Model Rates'!$A$2:$C$5,3,FALSE)</x:f>
        <x:v>0.0007512</x:v>
      </x:c>
      <x:c r="Q110" t="str">
        <x:v>v1.9</x:v>
      </x:c>
      <x:c r="R110" t="n">
        <x:v>0</x:v>
      </x:c>
      <x:c r="S110" s="1" t="b">
        <x:v>0</x:v>
      </x:c>
      <x:c r="T110" t="str">
        <x:v>review</x:v>
      </x:c>
      <x:c r="U110" s="16" t="n">
        <x:v>0.149</x:v>
      </x:c>
      <x:c r="V110" s="16" t="n">
        <x:v>1</x:v>
      </x:c>
      <x:c r="W110" s="16" t="n">
        <x:v>0.824</x:v>
      </x:c>
      <x:c r="X110" t="str">
        <x:v>none</x:v>
      </x:c>
      <x:c r="Y110" t="str"/>
    </x:row>
    <x:row r="111">
      <x:c r="A111" s="12" t="n">
        <x:v>46243.36802083333</x:v>
      </x:c>
      <x:c r="B111" t="str">
        <x:v>tr_51b2f045ceab</x:v>
      </x:c>
      <x:c r="C111" t="str">
        <x:v>sp_f072fe1206</x:v>
      </x:c>
      <x:c r="D111" t="str">
        <x:v>req_fff8a1318ae2</x:v>
      </x:c>
      <x:c r="E111" t="str">
        <x:v>search-assistant</x:v>
      </x:c>
      <x:c r="F111" t="str">
        <x:v>prod</x:v>
      </x:c>
      <x:c r="G111" t="str">
        <x:v>free</x:v>
      </x:c>
      <x:c r="H111" t="str">
        <x:v>gpt-5</x:v>
      </x:c>
      <x:c r="I111" t="str">
        <x:v>summarization</x:v>
      </x:c>
      <x:c r="J111" t="str">
        <x:v>error</x:v>
      </x:c>
      <x:c r="K111" t="n">
        <x:v>1446</x:v>
      </x:c>
      <x:c r="L111" t="n">
        <x:v>426</x:v>
      </x:c>
      <x:c r="M111" t="n">
        <x:v>1422</x:v>
      </x:c>
      <x:c r="N111" t="n">
        <x:v>273</x:v>
      </x:c>
      <x:c r="O111" t="n">
        <x:f>M111+N111</x:f>
        <x:v>1695</x:v>
      </x:c>
      <x:c r="P111" s="14" t="n">
        <x:f>M111/1000000*VLOOKUP(H111,'Model Rates'!$A$2:$C$5,2,FALSE)+N111/1000000*VLOOKUP(H111,'Model Rates'!$A$2:$C$5,3,FALSE)</x:f>
        <x:v>0.0045075</x:v>
      </x:c>
      <x:c r="Q111" t="str">
        <x:v>v1.8</x:v>
      </x:c>
      <x:c r="R111" t="n">
        <x:v>0</x:v>
      </x:c>
      <x:c r="S111" s="1" t="b">
        <x:v>0</x:v>
      </x:c>
      <x:c r="T111" t="str">
        <x:v>pass</x:v>
      </x:c>
      <x:c r="U111" s="16" t="n">
        <x:v>0.143</x:v>
      </x:c>
      <x:c r="V111" s="16" t="n">
        <x:v>0.734</x:v>
      </x:c>
      <x:c r="W111" s="16" t="n">
        <x:v>0.546</x:v>
      </x:c>
      <x:c r="X111" t="str">
        <x:v>positive</x:v>
      </x:c>
      <x:c r="Y111" t="str">
        <x:v>tool_error</x:v>
      </x:c>
    </x:row>
    <x:row r="112">
      <x:c r="A112" s="12" t="n">
        <x:v>46243.3696875</x:v>
      </x:c>
      <x:c r="B112" t="str">
        <x:v>tr_8be2fed77279</x:v>
      </x:c>
      <x:c r="C112" t="str">
        <x:v>sp_706b4cb588</x:v>
      </x:c>
      <x:c r="D112" t="str">
        <x:v>req_24beea9582bf</x:v>
      </x:c>
      <x:c r="E112" t="str">
        <x:v>agent-workflow</x:v>
      </x:c>
      <x:c r="F112" t="str">
        <x:v>prod</x:v>
      </x:c>
      <x:c r="G112" t="str">
        <x:v>free</x:v>
      </x:c>
      <x:c r="H112" t="str">
        <x:v>gpt-5</x:v>
      </x:c>
      <x:c r="I112" t="str">
        <x:v>retrieval_answer</x:v>
      </x:c>
      <x:c r="J112" t="str">
        <x:v>success</x:v>
      </x:c>
      <x:c r="K112" t="n">
        <x:v>2671</x:v>
      </x:c>
      <x:c r="L112" t="n">
        <x:v>572</x:v>
      </x:c>
      <x:c r="M112" t="n">
        <x:v>1511</x:v>
      </x:c>
      <x:c r="N112" t="n">
        <x:v>471</x:v>
      </x:c>
      <x:c r="O112" t="n">
        <x:f>M112+N112</x:f>
        <x:v>1982</x:v>
      </x:c>
      <x:c r="P112" s="14" t="n">
        <x:f>M112/1000000*VLOOKUP(H112,'Model Rates'!$A$2:$C$5,2,FALSE)+N112/1000000*VLOOKUP(H112,'Model Rates'!$A$2:$C$5,3,FALSE)</x:f>
        <x:v>0.00659875</x:v>
      </x:c>
      <x:c r="Q112" t="str">
        <x:v>v1.9</x:v>
      </x:c>
      <x:c r="R112" t="n">
        <x:v>0</x:v>
      </x:c>
      <x:c r="S112" s="1" t="b">
        <x:v>0</x:v>
      </x:c>
      <x:c r="T112" t="str">
        <x:v>pass</x:v>
      </x:c>
      <x:c r="U112" s="16" t="n">
        <x:v>0.066</x:v>
      </x:c>
      <x:c r="V112" s="16" t="n">
        <x:v>0.991</x:v>
      </x:c>
      <x:c r="W112" s="16" t="n">
        <x:v>0.957</x:v>
      </x:c>
      <x:c r="X112" t="str">
        <x:v>none</x:v>
      </x:c>
      <x:c r="Y112" t="str"/>
    </x:row>
    <x:row r="113">
      <x:c r="A113" s="12" t="n">
        <x:v>46243.370983796296</x:v>
      </x:c>
      <x:c r="B113" t="str">
        <x:v>tr_2f0e05339306</x:v>
      </x:c>
      <x:c r="C113" t="str">
        <x:v>sp_d59c6be5e8</x:v>
      </x:c>
      <x:c r="D113" t="str">
        <x:v>req_654ce3d73a78</x:v>
      </x:c>
      <x:c r="E113" t="str">
        <x:v>doc-summarizer</x:v>
      </x:c>
      <x:c r="F113" t="str">
        <x:v>prod</x:v>
      </x:c>
      <x:c r="G113" t="str">
        <x:v>free</x:v>
      </x:c>
      <x:c r="H113" t="str">
        <x:v>gpt-5-mini</x:v>
      </x:c>
      <x:c r="I113" t="str">
        <x:v>chat_completion</x:v>
      </x:c>
      <x:c r="J113" t="str">
        <x:v>success</x:v>
      </x:c>
      <x:c r="K113" t="n">
        <x:v>910</x:v>
      </x:c>
      <x:c r="L113" t="n">
        <x:v>178</x:v>
      </x:c>
      <x:c r="M113" t="n">
        <x:v>1693</x:v>
      </x:c>
      <x:c r="N113" t="n">
        <x:v>384</x:v>
      </x:c>
      <x:c r="O113" t="n">
        <x:f>M113+N113</x:f>
        <x:v>2077</x:v>
      </x:c>
      <x:c r="P113" s="14" t="n">
        <x:f>M113/1000000*VLOOKUP(H113,'Model Rates'!$A$2:$C$5,2,FALSE)+N113/1000000*VLOOKUP(H113,'Model Rates'!$A$2:$C$5,3,FALSE)</x:f>
        <x:v>0.0012916000000000002</x:v>
      </x:c>
      <x:c r="Q113" t="str">
        <x:v>v1.8</x:v>
      </x:c>
      <x:c r="R113" t="n">
        <x:v>0</x:v>
      </x:c>
      <x:c r="S113" s="1" t="b">
        <x:v>0</x:v>
      </x:c>
      <x:c r="T113" t="str">
        <x:v>pass</x:v>
      </x:c>
      <x:c r="U113" s="16" t="n">
        <x:v>0.127</x:v>
      </x:c>
      <x:c r="V113" s="16" t="n">
        <x:v>0.998</x:v>
      </x:c>
      <x:c r="W113" s="16" t="n">
        <x:v>0.972</x:v>
      </x:c>
      <x:c r="X113" t="str">
        <x:v>none</x:v>
      </x:c>
      <x:c r="Y113" t="str"/>
    </x:row>
    <x:row r="114">
      <x:c r="A114" s="12" t="n">
        <x:v>46243.3803125</x:v>
      </x:c>
      <x:c r="B114" t="str">
        <x:v>tr_64edb4ad050c</x:v>
      </x:c>
      <x:c r="C114" t="str">
        <x:v>sp_1ffb74639a</x:v>
      </x:c>
      <x:c r="D114" t="str">
        <x:v>req_e4c6b94350cd</x:v>
      </x:c>
      <x:c r="E114" t="str">
        <x:v>agent-workflow</x:v>
      </x:c>
      <x:c r="F114" t="str">
        <x:v>prod</x:v>
      </x:c>
      <x:c r="G114" t="str">
        <x:v>pro</x:v>
      </x:c>
      <x:c r="H114" t="str">
        <x:v>gemini-pro</x:v>
      </x:c>
      <x:c r="I114" t="str">
        <x:v>retrieval_answer</x:v>
      </x:c>
      <x:c r="J114" t="str">
        <x:v>success</x:v>
      </x:c>
      <x:c r="K114" t="n">
        <x:v>1681</x:v>
      </x:c>
      <x:c r="L114" t="n">
        <x:v>404</x:v>
      </x:c>
      <x:c r="M114" t="n">
        <x:v>607</x:v>
      </x:c>
      <x:c r="N114" t="n">
        <x:v>151</x:v>
      </x:c>
      <x:c r="O114" t="n">
        <x:f>M114+N114</x:f>
        <x:v>758</x:v>
      </x:c>
      <x:c r="P114" s="14" t="n">
        <x:f>M114/1000000*VLOOKUP(H114,'Model Rates'!$A$2:$C$5,2,FALSE)+N114/1000000*VLOOKUP(H114,'Model Rates'!$A$2:$C$5,3,FALSE)</x:f>
        <x:v>0.00151375</x:v>
      </x:c>
      <x:c r="Q114" t="str">
        <x:v>v1.9</x:v>
      </x:c>
      <x:c r="R114" t="n">
        <x:v>0</x:v>
      </x:c>
      <x:c r="S114" s="1" t="b">
        <x:v>0</x:v>
      </x:c>
      <x:c r="T114" t="str">
        <x:v>pass</x:v>
      </x:c>
      <x:c r="U114" s="16" t="n">
        <x:v>0.12</x:v>
      </x:c>
      <x:c r="V114" s="16" t="n">
        <x:v>0.841</x:v>
      </x:c>
      <x:c r="W114" s="16" t="n">
        <x:v>0.667</x:v>
      </x:c>
      <x:c r="X114" t="str">
        <x:v>none</x:v>
      </x:c>
      <x:c r="Y114" t="str"/>
    </x:row>
    <x:row r="115">
      <x:c r="A115" s="12" t="n">
        <x:v>46243.38165509259</x:v>
      </x:c>
      <x:c r="B115" t="str">
        <x:v>tr_cb9da5ee62f5</x:v>
      </x:c>
      <x:c r="C115" t="str">
        <x:v>sp_d2c4a4c437</x:v>
      </x:c>
      <x:c r="D115" t="str">
        <x:v>req_657073bfc3fa</x:v>
      </x:c>
      <x:c r="E115" t="str">
        <x:v>search-assistant</x:v>
      </x:c>
      <x:c r="F115" t="str">
        <x:v>prod</x:v>
      </x:c>
      <x:c r="G115" t="str">
        <x:v>free</x:v>
      </x:c>
      <x:c r="H115" t="str">
        <x:v>gpt-5-mini</x:v>
      </x:c>
      <x:c r="I115" t="str">
        <x:v>summarization</x:v>
      </x:c>
      <x:c r="J115" t="str">
        <x:v>success</x:v>
      </x:c>
      <x:c r="K115" t="n">
        <x:v>1239</x:v>
      </x:c>
      <x:c r="L115" t="n">
        <x:v>334</x:v>
      </x:c>
      <x:c r="M115" t="n">
        <x:v>876</x:v>
      </x:c>
      <x:c r="N115" t="n">
        <x:v>316</x:v>
      </x:c>
      <x:c r="O115" t="n">
        <x:f>M115+N115</x:f>
        <x:v>1192</x:v>
      </x:c>
      <x:c r="P115" s="14" t="n">
        <x:f>M115/1000000*VLOOKUP(H115,'Model Rates'!$A$2:$C$5,2,FALSE)+N115/1000000*VLOOKUP(H115,'Model Rates'!$A$2:$C$5,3,FALSE)</x:f>
        <x:v>0.0008560000000000001</x:v>
      </x:c>
      <x:c r="Q115" t="str">
        <x:v>v2.0</x:v>
      </x:c>
      <x:c r="R115" t="n">
        <x:v>0</x:v>
      </x:c>
      <x:c r="S115" s="1" t="b">
        <x:v>1</x:v>
      </x:c>
      <x:c r="T115" t="str">
        <x:v>pass</x:v>
      </x:c>
      <x:c r="U115" s="16" t="n">
        <x:v>0.159</x:v>
      </x:c>
      <x:c r="V115" s="16" t="n">
        <x:v>0.96</x:v>
      </x:c>
      <x:c r="W115" s="16" t="n">
        <x:v>0.942</x:v>
      </x:c>
      <x:c r="X115" t="str">
        <x:v>none</x:v>
      </x:c>
      <x:c r="Y115" t="str"/>
    </x:row>
    <x:row r="116">
      <x:c r="A116" s="12" t="n">
        <x:v>46243.383414351854</x:v>
      </x:c>
      <x:c r="B116" t="str">
        <x:v>tr_f077f2830b8f</x:v>
      </x:c>
      <x:c r="C116" t="str">
        <x:v>sp_b1271a6ddc</x:v>
      </x:c>
      <x:c r="D116" t="str">
        <x:v>req_b3dbbf9df5b3</x:v>
      </x:c>
      <x:c r="E116" t="str">
        <x:v>search-assistant</x:v>
      </x:c>
      <x:c r="F116" t="str">
        <x:v>prod</x:v>
      </x:c>
      <x:c r="G116" t="str">
        <x:v>pro</x:v>
      </x:c>
      <x:c r="H116" t="str">
        <x:v>gpt-5-mini</x:v>
      </x:c>
      <x:c r="I116" t="str">
        <x:v>chat_completion</x:v>
      </x:c>
      <x:c r="J116" t="str">
        <x:v>success</x:v>
      </x:c>
      <x:c r="K116" t="n">
        <x:v>881</x:v>
      </x:c>
      <x:c r="L116" t="n">
        <x:v>208</x:v>
      </x:c>
      <x:c r="M116" t="n">
        <x:v>967</x:v>
      </x:c>
      <x:c r="N116" t="n">
        <x:v>393</x:v>
      </x:c>
      <x:c r="O116" t="n">
        <x:f>M116+N116</x:f>
        <x:v>1360</x:v>
      </x:c>
      <x:c r="P116" s="14" t="n">
        <x:f>M116/1000000*VLOOKUP(H116,'Model Rates'!$A$2:$C$5,2,FALSE)+N116/1000000*VLOOKUP(H116,'Model Rates'!$A$2:$C$5,3,FALSE)</x:f>
        <x:v>0.0010156000000000002</x:v>
      </x:c>
      <x:c r="Q116" t="str">
        <x:v>v2.0</x:v>
      </x:c>
      <x:c r="R116" t="n">
        <x:v>0</x:v>
      </x:c>
      <x:c r="S116" s="1" t="b">
        <x:v>1</x:v>
      </x:c>
      <x:c r="T116" t="str">
        <x:v>pass</x:v>
      </x:c>
      <x:c r="U116" s="16" t="n">
        <x:v>0.035</x:v>
      </x:c>
      <x:c r="V116" s="16" t="n">
        <x:v>0.859</x:v>
      </x:c>
      <x:c r="W116" s="16" t="n">
        <x:v>0.97</x:v>
      </x:c>
      <x:c r="X116" t="str">
        <x:v>none</x:v>
      </x:c>
      <x:c r="Y116" t="str"/>
    </x:row>
    <x:row r="117">
      <x:c r="A117" s="12" t="n">
        <x:v>46243.391747685186</x:v>
      </x:c>
      <x:c r="B117" t="str">
        <x:v>tr_f1a6536823e8</x:v>
      </x:c>
      <x:c r="C117" t="str">
        <x:v>sp_6474b894b4</x:v>
      </x:c>
      <x:c r="D117" t="str">
        <x:v>req_4969c71b7ae4</x:v>
      </x:c>
      <x:c r="E117" t="str">
        <x:v>doc-summarizer</x:v>
      </x:c>
      <x:c r="F117" t="str">
        <x:v>prod</x:v>
      </x:c>
      <x:c r="G117" t="str">
        <x:v>free</x:v>
      </x:c>
      <x:c r="H117" t="str">
        <x:v>gemini-pro</x:v>
      </x:c>
      <x:c r="I117" t="str">
        <x:v>tool_agent</x:v>
      </x:c>
      <x:c r="J117" t="str">
        <x:v>success</x:v>
      </x:c>
      <x:c r="K117" t="n">
        <x:v>1289</x:v>
      </x:c>
      <x:c r="L117" t="n">
        <x:v>133</x:v>
      </x:c>
      <x:c r="M117" t="n">
        <x:v>1033</x:v>
      </x:c>
      <x:c r="N117" t="n">
        <x:v>257</x:v>
      </x:c>
      <x:c r="O117" t="n">
        <x:f>M117+N117</x:f>
        <x:v>1290</x:v>
      </x:c>
      <x:c r="P117" s="14" t="n">
        <x:f>M117/1000000*VLOOKUP(H117,'Model Rates'!$A$2:$C$5,2,FALSE)+N117/1000000*VLOOKUP(H117,'Model Rates'!$A$2:$C$5,3,FALSE)</x:f>
        <x:v>0.0025762500000000004</x:v>
      </x:c>
      <x:c r="Q117" t="str">
        <x:v>v1.9</x:v>
      </x:c>
      <x:c r="R117" t="n">
        <x:v>1</x:v>
      </x:c>
      <x:c r="S117" s="1" t="b">
        <x:v>1</x:v>
      </x:c>
      <x:c r="T117" t="str">
        <x:v>pass</x:v>
      </x:c>
      <x:c r="U117" s="16" t="n">
        <x:v>0.063</x:v>
      </x:c>
      <x:c r="V117" s="16" t="n">
        <x:v>0.934</x:v>
      </x:c>
      <x:c r="W117" s="16" t="n">
        <x:v>0.869</x:v>
      </x:c>
      <x:c r="X117" t="str">
        <x:v>positive</x:v>
      </x:c>
      <x:c r="Y117" t="str"/>
    </x:row>
    <x:row r="118">
      <x:c r="A118" s="12" t="n">
        <x:v>46243.40645833333</x:v>
      </x:c>
      <x:c r="B118" t="str">
        <x:v>tr_9c0fd6d3b033</x:v>
      </x:c>
      <x:c r="C118" t="str">
        <x:v>sp_ec2c2dfb5f</x:v>
      </x:c>
      <x:c r="D118" t="str">
        <x:v>req_e4d2f0587aeb</x:v>
      </x:c>
      <x:c r="E118" t="str">
        <x:v>agent-workflow</x:v>
      </x:c>
      <x:c r="F118" t="str">
        <x:v>staging</x:v>
      </x:c>
      <x:c r="G118" t="str">
        <x:v>pro</x:v>
      </x:c>
      <x:c r="H118" t="str">
        <x:v>gemini-pro</x:v>
      </x:c>
      <x:c r="I118" t="str">
        <x:v>chat_completion</x:v>
      </x:c>
      <x:c r="J118" t="str">
        <x:v>success</x:v>
      </x:c>
      <x:c r="K118" t="n">
        <x:v>1752</x:v>
      </x:c>
      <x:c r="L118" t="n">
        <x:v>222</x:v>
      </x:c>
      <x:c r="M118" t="n">
        <x:v>933</x:v>
      </x:c>
      <x:c r="N118" t="n">
        <x:v>175</x:v>
      </x:c>
      <x:c r="O118" t="n">
        <x:f>M118+N118</x:f>
        <x:v>1108</x:v>
      </x:c>
      <x:c r="P118" s="14" t="n">
        <x:f>M118/1000000*VLOOKUP(H118,'Model Rates'!$A$2:$C$5,2,FALSE)+N118/1000000*VLOOKUP(H118,'Model Rates'!$A$2:$C$5,3,FALSE)</x:f>
        <x:v>0.00204125</x:v>
      </x:c>
      <x:c r="Q118" t="str">
        <x:v>v1.9</x:v>
      </x:c>
      <x:c r="R118" t="n">
        <x:v>1</x:v>
      </x:c>
      <x:c r="S118" s="1" t="b">
        <x:v>0</x:v>
      </x:c>
      <x:c r="T118" t="str">
        <x:v>pass</x:v>
      </x:c>
      <x:c r="U118" s="16" t="n">
        <x:v>0</x:v>
      </x:c>
      <x:c r="V118" s="16" t="n">
        <x:v>0.931</x:v>
      </x:c>
      <x:c r="W118" s="16" t="n">
        <x:v>0.718</x:v>
      </x:c>
      <x:c r="X118" t="str">
        <x:v>positive</x:v>
      </x:c>
      <x:c r="Y118" t="str"/>
    </x:row>
    <x:row r="119">
      <x:c r="A119" s="12" t="n">
        <x:v>46243.4065162037</x:v>
      </x:c>
      <x:c r="B119" t="str">
        <x:v>tr_b2dbca1a4733</x:v>
      </x:c>
      <x:c r="C119" t="str">
        <x:v>sp_fa1086cc5d</x:v>
      </x:c>
      <x:c r="D119" t="str">
        <x:v>req_ed5b7fe6c7e9</x:v>
      </x:c>
      <x:c r="E119" t="str">
        <x:v>search-assistant</x:v>
      </x:c>
      <x:c r="F119" t="str">
        <x:v>prod</x:v>
      </x:c>
      <x:c r="G119" t="str">
        <x:v>free</x:v>
      </x:c>
      <x:c r="H119" t="str">
        <x:v>gpt-5-mini</x:v>
      </x:c>
      <x:c r="I119" t="str">
        <x:v>chat_completion</x:v>
      </x:c>
      <x:c r="J119" t="str">
        <x:v>success</x:v>
      </x:c>
      <x:c r="K119" t="n">
        <x:v>627</x:v>
      </x:c>
      <x:c r="L119" t="n">
        <x:v>319</x:v>
      </x:c>
      <x:c r="M119" t="n">
        <x:v>709</x:v>
      </x:c>
      <x:c r="N119" t="n">
        <x:v>224</x:v>
      </x:c>
      <x:c r="O119" t="n">
        <x:f>M119+N119</x:f>
        <x:v>933</x:v>
      </x:c>
      <x:c r="P119" s="14" t="n">
        <x:f>M119/1000000*VLOOKUP(H119,'Model Rates'!$A$2:$C$5,2,FALSE)+N119/1000000*VLOOKUP(H119,'Model Rates'!$A$2:$C$5,3,FALSE)</x:f>
        <x:v>0.000642</x:v>
      </x:c>
      <x:c r="Q119" t="str">
        <x:v>v1.8</x:v>
      </x:c>
      <x:c r="R119" t="n">
        <x:v>0</x:v>
      </x:c>
      <x:c r="S119" s="1" t="b">
        <x:v>1</x:v>
      </x:c>
      <x:c r="T119" t="str">
        <x:v>pass</x:v>
      </x:c>
      <x:c r="U119" s="16" t="n">
        <x:v>0.072</x:v>
      </x:c>
      <x:c r="V119" s="16" t="n">
        <x:v>0.961</x:v>
      </x:c>
      <x:c r="W119" s="16" t="n">
        <x:v>0.871</x:v>
      </x:c>
      <x:c r="X119" t="str">
        <x:v>negative</x:v>
      </x:c>
      <x:c r="Y119" t="str"/>
    </x:row>
    <x:row r="120">
      <x:c r="A120" s="12" t="n">
        <x:v>46243.40740740741</x:v>
      </x:c>
      <x:c r="B120" t="str">
        <x:v>tr_982c4baa9b0f</x:v>
      </x:c>
      <x:c r="C120" t="str">
        <x:v>sp_2313cebd8a</x:v>
      </x:c>
      <x:c r="D120" t="str">
        <x:v>req_6c76e5d49540</x:v>
      </x:c>
      <x:c r="E120" t="str">
        <x:v>search-assistant</x:v>
      </x:c>
      <x:c r="F120" t="str">
        <x:v>prod</x:v>
      </x:c>
      <x:c r="G120" t="str">
        <x:v>pro</x:v>
      </x:c>
      <x:c r="H120" t="str">
        <x:v>gpt-5</x:v>
      </x:c>
      <x:c r="I120" t="str">
        <x:v>chat_completion</x:v>
      </x:c>
      <x:c r="J120" t="str">
        <x:v>error</x:v>
      </x:c>
      <x:c r="K120" t="n">
        <x:v>1448</x:v>
      </x:c>
      <x:c r="L120" t="n">
        <x:v>532</x:v>
      </x:c>
      <x:c r="M120" t="n">
        <x:v>2218</x:v>
      </x:c>
      <x:c r="N120" t="n">
        <x:v>186</x:v>
      </x:c>
      <x:c r="O120" t="n">
        <x:f>M120+N120</x:f>
        <x:v>2404</x:v>
      </x:c>
      <x:c r="P120" s="14" t="n">
        <x:f>M120/1000000*VLOOKUP(H120,'Model Rates'!$A$2:$C$5,2,FALSE)+N120/1000000*VLOOKUP(H120,'Model Rates'!$A$2:$C$5,3,FALSE)</x:f>
        <x:v>0.0046324999999999995</x:v>
      </x:c>
      <x:c r="Q120" t="str">
        <x:v>v1.8</x:v>
      </x:c>
      <x:c r="R120" t="n">
        <x:v>0</x:v>
      </x:c>
      <x:c r="S120" s="1" t="b">
        <x:v>1</x:v>
      </x:c>
      <x:c r="T120" t="str">
        <x:v>pass</x:v>
      </x:c>
      <x:c r="U120" s="16" t="n">
        <x:v>0.199</x:v>
      </x:c>
      <x:c r="V120" s="16" t="n">
        <x:v>0.601</x:v>
      </x:c>
      <x:c r="W120" s="16" t="n">
        <x:v>0.564</x:v>
      </x:c>
      <x:c r="X120" t="str">
        <x:v>none</x:v>
      </x:c>
      <x:c r="Y120" t="str">
        <x:v>provider_5xx</x:v>
      </x:c>
    </x:row>
    <x:row r="121">
      <x:c r="A121" s="12" t="n">
        <x:v>46243.408854166664</x:v>
      </x:c>
      <x:c r="B121" t="str">
        <x:v>tr_b521415bd9df</x:v>
      </x:c>
      <x:c r="C121" t="str">
        <x:v>sp_cdbd3ed555</x:v>
      </x:c>
      <x:c r="D121" t="str">
        <x:v>req_d2102f224c65</x:v>
      </x:c>
      <x:c r="E121" t="str">
        <x:v>search-assistant</x:v>
      </x:c>
      <x:c r="F121" t="str">
        <x:v>prod</x:v>
      </x:c>
      <x:c r="G121" t="str">
        <x:v>pro</x:v>
      </x:c>
      <x:c r="H121" t="str">
        <x:v>gpt-5</x:v>
      </x:c>
      <x:c r="I121" t="str">
        <x:v>summarization</x:v>
      </x:c>
      <x:c r="J121" t="str">
        <x:v>error</x:v>
      </x:c>
      <x:c r="K121" t="n">
        <x:v>1161</x:v>
      </x:c>
      <x:c r="L121" t="n">
        <x:v>600</x:v>
      </x:c>
      <x:c r="M121" t="n">
        <x:v>408</x:v>
      </x:c>
      <x:c r="N121" t="n">
        <x:v>333</x:v>
      </x:c>
      <x:c r="O121" t="n">
        <x:f>M121+N121</x:f>
        <x:v>741</x:v>
      </x:c>
      <x:c r="P121" s="14" t="n">
        <x:f>M121/1000000*VLOOKUP(H121,'Model Rates'!$A$2:$C$5,2,FALSE)+N121/1000000*VLOOKUP(H121,'Model Rates'!$A$2:$C$5,3,FALSE)</x:f>
        <x:v>0.00384</x:v>
      </x:c>
      <x:c r="Q121" t="str">
        <x:v>v1.8</x:v>
      </x:c>
      <x:c r="R121" t="n">
        <x:v>0</x:v>
      </x:c>
      <x:c r="S121" s="1" t="b">
        <x:v>0</x:v>
      </x:c>
      <x:c r="T121" t="str">
        <x:v>blocked</x:v>
      </x:c>
      <x:c r="U121" s="16" t="n">
        <x:v>0.124</x:v>
      </x:c>
      <x:c r="V121" s="16" t="n">
        <x:v>0.527</x:v>
      </x:c>
      <x:c r="W121" s="16" t="n">
        <x:v>0.605</x:v>
      </x:c>
      <x:c r="X121" t="str">
        <x:v>positive</x:v>
      </x:c>
      <x:c r="Y121" t="str">
        <x:v>timeout</x:v>
      </x:c>
    </x:row>
    <x:row r="122">
      <x:c r="A122" s="12" t="n">
        <x:v>46243.41315972222</x:v>
      </x:c>
      <x:c r="B122" t="str">
        <x:v>tr_87f61db08c93</x:v>
      </x:c>
      <x:c r="C122" t="str">
        <x:v>sp_b0afe8fe74</x:v>
      </x:c>
      <x:c r="D122" t="str">
        <x:v>req_84eff98b3f77</x:v>
      </x:c>
      <x:c r="E122" t="str">
        <x:v>search-assistant</x:v>
      </x:c>
      <x:c r="F122" t="str">
        <x:v>prod</x:v>
      </x:c>
      <x:c r="G122" t="str">
        <x:v>free</x:v>
      </x:c>
      <x:c r="H122" t="str">
        <x:v>gpt-5-mini</x:v>
      </x:c>
      <x:c r="I122" t="str">
        <x:v>summarization</x:v>
      </x:c>
      <x:c r="J122" t="str">
        <x:v>success</x:v>
      </x:c>
      <x:c r="K122" t="n">
        <x:v>1506</x:v>
      </x:c>
      <x:c r="L122" t="n">
        <x:v>382</x:v>
      </x:c>
      <x:c r="M122" t="n">
        <x:v>906</x:v>
      </x:c>
      <x:c r="N122" t="n">
        <x:v>546</x:v>
      </x:c>
      <x:c r="O122" t="n">
        <x:f>M122+N122</x:f>
        <x:v>1452</x:v>
      </x:c>
      <x:c r="P122" s="14" t="n">
        <x:f>M122/1000000*VLOOKUP(H122,'Model Rates'!$A$2:$C$5,2,FALSE)+N122/1000000*VLOOKUP(H122,'Model Rates'!$A$2:$C$5,3,FALSE)</x:f>
        <x:v>0.0012360000000000001</x:v>
      </x:c>
      <x:c r="Q122" t="str">
        <x:v>v1.8</x:v>
      </x:c>
      <x:c r="R122" t="n">
        <x:v>0</x:v>
      </x:c>
      <x:c r="S122" s="1" t="b">
        <x:v>0</x:v>
      </x:c>
      <x:c r="T122" t="str">
        <x:v>pass</x:v>
      </x:c>
      <x:c r="U122" s="16" t="n">
        <x:v>0.056</x:v>
      </x:c>
      <x:c r="V122" s="16" t="n">
        <x:v>1</x:v>
      </x:c>
      <x:c r="W122" s="16" t="n">
        <x:v>0.75</x:v>
      </x:c>
      <x:c r="X122" t="str">
        <x:v>positive</x:v>
      </x:c>
      <x:c r="Y122" t="str"/>
    </x:row>
    <x:row r="123">
      <x:c r="A123" s="12" t="n">
        <x:v>46243.42207175926</x:v>
      </x:c>
      <x:c r="B123" t="str">
        <x:v>tr_5aa09492fc00</x:v>
      </x:c>
      <x:c r="C123" t="str">
        <x:v>sp_e3f3974b89</x:v>
      </x:c>
      <x:c r="D123" t="str">
        <x:v>req_1a94e6a6390d</x:v>
      </x:c>
      <x:c r="E123" t="str">
        <x:v>doc-summarizer</x:v>
      </x:c>
      <x:c r="F123" t="str">
        <x:v>prod</x:v>
      </x:c>
      <x:c r="G123" t="str">
        <x:v>pro</x:v>
      </x:c>
      <x:c r="H123" t="str">
        <x:v>gpt-5</x:v>
      </x:c>
      <x:c r="I123" t="str">
        <x:v>chat_completion</x:v>
      </x:c>
      <x:c r="J123" t="str">
        <x:v>error</x:v>
      </x:c>
      <x:c r="K123" t="n">
        <x:v>1193</x:v>
      </x:c>
      <x:c r="L123" t="n">
        <x:v>356</x:v>
      </x:c>
      <x:c r="M123" t="n">
        <x:v>1423</x:v>
      </x:c>
      <x:c r="N123" t="n">
        <x:v>476</x:v>
      </x:c>
      <x:c r="O123" t="n">
        <x:f>M123+N123</x:f>
        <x:v>1899</x:v>
      </x:c>
      <x:c r="P123" s="14" t="n">
        <x:f>M123/1000000*VLOOKUP(H123,'Model Rates'!$A$2:$C$5,2,FALSE)+N123/1000000*VLOOKUP(H123,'Model Rates'!$A$2:$C$5,3,FALSE)</x:f>
        <x:v>0.00653875</x:v>
      </x:c>
      <x:c r="Q123" t="str">
        <x:v>v1.9</x:v>
      </x:c>
      <x:c r="R123" t="n">
        <x:v>0</x:v>
      </x:c>
      <x:c r="S123" s="1" t="b">
        <x:v>0</x:v>
      </x:c>
      <x:c r="T123" t="str">
        <x:v>blocked</x:v>
      </x:c>
      <x:c r="U123" s="16" t="n">
        <x:v>0.199</x:v>
      </x:c>
      <x:c r="V123" s="16" t="n">
        <x:v>0.646</x:v>
      </x:c>
      <x:c r="W123" s="16" t="n">
        <x:v>0.603</x:v>
      </x:c>
      <x:c r="X123" t="str">
        <x:v>none</x:v>
      </x:c>
      <x:c r="Y123" t="str">
        <x:v>timeout</x:v>
      </x:c>
    </x:row>
    <x:row r="124">
      <x:c r="A124" s="12" t="n">
        <x:v>46243.42313657407</x:v>
      </x:c>
      <x:c r="B124" t="str">
        <x:v>tr_1864c4e41a61</x:v>
      </x:c>
      <x:c r="C124" t="str">
        <x:v>sp_e34998e22b</x:v>
      </x:c>
      <x:c r="D124" t="str">
        <x:v>req_280e0beb22ea</x:v>
      </x:c>
      <x:c r="E124" t="str">
        <x:v>search-assistant</x:v>
      </x:c>
      <x:c r="F124" t="str">
        <x:v>prod</x:v>
      </x:c>
      <x:c r="G124" t="str">
        <x:v>pro</x:v>
      </x:c>
      <x:c r="H124" t="str">
        <x:v>gemini-pro</x:v>
      </x:c>
      <x:c r="I124" t="str">
        <x:v>retrieval_answer</x:v>
      </x:c>
      <x:c r="J124" t="str">
        <x:v>error</x:v>
      </x:c>
      <x:c r="K124" t="n">
        <x:v>1083</x:v>
      </x:c>
      <x:c r="L124" t="n">
        <x:v>276</x:v>
      </x:c>
      <x:c r="M124" t="n">
        <x:v>645</x:v>
      </x:c>
      <x:c r="N124" t="n">
        <x:v>188</x:v>
      </x:c>
      <x:c r="O124" t="n">
        <x:f>M124+N124</x:f>
        <x:v>833</x:v>
      </x:c>
      <x:c r="P124" s="14" t="n">
        <x:f>M124/1000000*VLOOKUP(H124,'Model Rates'!$A$2:$C$5,2,FALSE)+N124/1000000*VLOOKUP(H124,'Model Rates'!$A$2:$C$5,3,FALSE)</x:f>
        <x:v>0.00174625</x:v>
      </x:c>
      <x:c r="Q124" t="str">
        <x:v>v1.9</x:v>
      </x:c>
      <x:c r="R124" t="n">
        <x:v>0</x:v>
      </x:c>
      <x:c r="S124" s="1" t="b">
        <x:v>0</x:v>
      </x:c>
      <x:c r="T124" t="str">
        <x:v>review</x:v>
      </x:c>
      <x:c r="U124" s="16" t="n">
        <x:v>0.211</x:v>
      </x:c>
      <x:c r="V124" s="16" t="n">
        <x:v>0.779</x:v>
      </x:c>
      <x:c r="W124" s="16" t="n">
        <x:v>0.644</x:v>
      </x:c>
      <x:c r="X124" t="str">
        <x:v>none</x:v>
      </x:c>
      <x:c r="Y124" t="str">
        <x:v>timeout</x:v>
      </x:c>
    </x:row>
    <x:row r="125">
      <x:c r="A125" s="12" t="n">
        <x:v>46243.4234375</x:v>
      </x:c>
      <x:c r="B125" t="str">
        <x:v>tr_79bab1458e69</x:v>
      </x:c>
      <x:c r="C125" t="str">
        <x:v>sp_a450fe7a6b</x:v>
      </x:c>
      <x:c r="D125" t="str">
        <x:v>req_b184134e1146</x:v>
      </x:c>
      <x:c r="E125" t="str">
        <x:v>agent-workflow</x:v>
      </x:c>
      <x:c r="F125" t="str">
        <x:v>prod</x:v>
      </x:c>
      <x:c r="G125" t="str">
        <x:v>enterprise</x:v>
      </x:c>
      <x:c r="H125" t="str">
        <x:v>gpt-5-mini</x:v>
      </x:c>
      <x:c r="I125" t="str">
        <x:v>summarization</x:v>
      </x:c>
      <x:c r="J125" t="str">
        <x:v>success</x:v>
      </x:c>
      <x:c r="K125" t="n">
        <x:v>1249</x:v>
      </x:c>
      <x:c r="L125" t="n">
        <x:v>181</x:v>
      </x:c>
      <x:c r="M125" t="n">
        <x:v>1720</x:v>
      </x:c>
      <x:c r="N125" t="n">
        <x:v>135</x:v>
      </x:c>
      <x:c r="O125" t="n">
        <x:f>M125+N125</x:f>
        <x:v>1855</x:v>
      </x:c>
      <x:c r="P125" s="14" t="n">
        <x:f>M125/1000000*VLOOKUP(H125,'Model Rates'!$A$2:$C$5,2,FALSE)+N125/1000000*VLOOKUP(H125,'Model Rates'!$A$2:$C$5,3,FALSE)</x:f>
        <x:v>0.0009040000000000001</x:v>
      </x:c>
      <x:c r="Q125" t="str">
        <x:v>v2.0</x:v>
      </x:c>
      <x:c r="R125" t="n">
        <x:v>1</x:v>
      </x:c>
      <x:c r="S125" s="1" t="b">
        <x:v>0</x:v>
      </x:c>
      <x:c r="T125" t="str">
        <x:v>review</x:v>
      </x:c>
      <x:c r="U125" s="16" t="n">
        <x:v>0.002</x:v>
      </x:c>
      <x:c r="V125" s="16" t="n">
        <x:v>0.91</x:v>
      </x:c>
      <x:c r="W125" s="16" t="n">
        <x:v>0.891</x:v>
      </x:c>
      <x:c r="X125" t="str">
        <x:v>none</x:v>
      </x:c>
      <x:c r="Y125" t="str"/>
    </x:row>
    <x:row r="126">
      <x:c r="A126" s="12" t="n">
        <x:v>46243.42533564815</x:v>
      </x:c>
      <x:c r="B126" t="str">
        <x:v>tr_d63e11e6f175</x:v>
      </x:c>
      <x:c r="C126" t="str">
        <x:v>sp_c8a7322c35</x:v>
      </x:c>
      <x:c r="D126" t="str">
        <x:v>req_6cf0efbd69e3</x:v>
      </x:c>
      <x:c r="E126" t="str">
        <x:v>support-copilot</x:v>
      </x:c>
      <x:c r="F126" t="str">
        <x:v>prod</x:v>
      </x:c>
      <x:c r="G126" t="str">
        <x:v>enterprise</x:v>
      </x:c>
      <x:c r="H126" t="str">
        <x:v>gemini-pro</x:v>
      </x:c>
      <x:c r="I126" t="str">
        <x:v>chat_completion</x:v>
      </x:c>
      <x:c r="J126" t="str">
        <x:v>error</x:v>
      </x:c>
      <x:c r="K126" t="n">
        <x:v>944</x:v>
      </x:c>
      <x:c r="L126" t="n">
        <x:v>348</x:v>
      </x:c>
      <x:c r="M126" t="n">
        <x:v>2222</x:v>
      </x:c>
      <x:c r="N126" t="n">
        <x:v>234</x:v>
      </x:c>
      <x:c r="O126" t="n">
        <x:f>M126+N126</x:f>
        <x:v>2456</x:v>
      </x:c>
      <x:c r="P126" s="14" t="n">
        <x:f>M126/1000000*VLOOKUP(H126,'Model Rates'!$A$2:$C$5,2,FALSE)+N126/1000000*VLOOKUP(H126,'Model Rates'!$A$2:$C$5,3,FALSE)</x:f>
        <x:v>0.0039475</x:v>
      </x:c>
      <x:c r="Q126" t="str">
        <x:v>v2.0</x:v>
      </x:c>
      <x:c r="R126" t="n">
        <x:v>0</x:v>
      </x:c>
      <x:c r="S126" s="1" t="b">
        <x:v>0</x:v>
      </x:c>
      <x:c r="T126" t="str">
        <x:v>blocked</x:v>
      </x:c>
      <x:c r="U126" s="16" t="n">
        <x:v>0.381</x:v>
      </x:c>
      <x:c r="V126" s="16" t="n">
        <x:v>0.583</x:v>
      </x:c>
      <x:c r="W126" s="16" t="n">
        <x:v>0.81</x:v>
      </x:c>
      <x:c r="X126" t="str">
        <x:v>none</x:v>
      </x:c>
      <x:c r="Y126" t="str">
        <x:v>timeout</x:v>
      </x:c>
    </x:row>
    <x:row r="127">
      <x:c r="A127" s="12" t="n">
        <x:v>46243.43042824074</x:v>
      </x:c>
      <x:c r="B127" t="str">
        <x:v>tr_8c448976bbdc</x:v>
      </x:c>
      <x:c r="C127" t="str">
        <x:v>sp_58a23ff1bd</x:v>
      </x:c>
      <x:c r="D127" t="str">
        <x:v>req_04b3b4cb93e0</x:v>
      </x:c>
      <x:c r="E127" t="str">
        <x:v>agent-workflow</x:v>
      </x:c>
      <x:c r="F127" t="str">
        <x:v>prod</x:v>
      </x:c>
      <x:c r="G127" t="str">
        <x:v>free</x:v>
      </x:c>
      <x:c r="H127" t="str">
        <x:v>gpt-5-mini</x:v>
      </x:c>
      <x:c r="I127" t="str">
        <x:v>summarization</x:v>
      </x:c>
      <x:c r="J127" t="str">
        <x:v>success</x:v>
      </x:c>
      <x:c r="K127" t="n">
        <x:v>977</x:v>
      </x:c>
      <x:c r="L127" t="n">
        <x:v>80</x:v>
      </x:c>
      <x:c r="M127" t="n">
        <x:v>937</x:v>
      </x:c>
      <x:c r="N127" t="n">
        <x:v>751</x:v>
      </x:c>
      <x:c r="O127" t="n">
        <x:f>M127+N127</x:f>
        <x:v>1688</x:v>
      </x:c>
      <x:c r="P127" s="14" t="n">
        <x:f>M127/1000000*VLOOKUP(H127,'Model Rates'!$A$2:$C$5,2,FALSE)+N127/1000000*VLOOKUP(H127,'Model Rates'!$A$2:$C$5,3,FALSE)</x:f>
        <x:v>0.0015764000000000002</x:v>
      </x:c>
      <x:c r="Q127" t="str">
        <x:v>v1.8</x:v>
      </x:c>
      <x:c r="R127" t="n">
        <x:v>0</x:v>
      </x:c>
      <x:c r="S127" s="1" t="b">
        <x:v>1</x:v>
      </x:c>
      <x:c r="T127" t="str">
        <x:v>pass</x:v>
      </x:c>
      <x:c r="U127" s="16" t="n">
        <x:v>0.085</x:v>
      </x:c>
      <x:c r="V127" s="16" t="n">
        <x:v>0.9</x:v>
      </x:c>
      <x:c r="W127" s="16" t="n">
        <x:v>0.854</x:v>
      </x:c>
      <x:c r="X127" t="str">
        <x:v>positive</x:v>
      </x:c>
      <x:c r="Y127" t="str"/>
    </x:row>
    <x:row r="128">
      <x:c r="A128" s="12" t="n">
        <x:v>46243.4356712963</x:v>
      </x:c>
      <x:c r="B128" t="str">
        <x:v>tr_5b9411dc9cae</x:v>
      </x:c>
      <x:c r="C128" t="str">
        <x:v>sp_cdb6674068</x:v>
      </x:c>
      <x:c r="D128" t="str">
        <x:v>req_e71fb79f94d5</x:v>
      </x:c>
      <x:c r="E128" t="str">
        <x:v>doc-summarizer</x:v>
      </x:c>
      <x:c r="F128" t="str">
        <x:v>prod</x:v>
      </x:c>
      <x:c r="G128" t="str">
        <x:v>pro</x:v>
      </x:c>
      <x:c r="H128" t="str">
        <x:v>gpt-5</x:v>
      </x:c>
      <x:c r="I128" t="str">
        <x:v>summarization</x:v>
      </x:c>
      <x:c r="J128" t="str">
        <x:v>success</x:v>
      </x:c>
      <x:c r="K128" t="n">
        <x:v>1059</x:v>
      </x:c>
      <x:c r="L128" t="n">
        <x:v>498</x:v>
      </x:c>
      <x:c r="M128" t="n">
        <x:v>2813</x:v>
      </x:c>
      <x:c r="N128" t="n">
        <x:v>256</x:v>
      </x:c>
      <x:c r="O128" t="n">
        <x:f>M128+N128</x:f>
        <x:v>3069</x:v>
      </x:c>
      <x:c r="P128" s="14" t="n">
        <x:f>M128/1000000*VLOOKUP(H128,'Model Rates'!$A$2:$C$5,2,FALSE)+N128/1000000*VLOOKUP(H128,'Model Rates'!$A$2:$C$5,3,FALSE)</x:f>
        <x:v>0.00607625</x:v>
      </x:c>
      <x:c r="Q128" t="str">
        <x:v>v1.8</x:v>
      </x:c>
      <x:c r="R128" t="n">
        <x:v>0</x:v>
      </x:c>
      <x:c r="S128" s="1" t="b">
        <x:v>0</x:v>
      </x:c>
      <x:c r="T128" t="str">
        <x:v>pass</x:v>
      </x:c>
      <x:c r="U128" s="16" t="n">
        <x:v>0.08</x:v>
      </x:c>
      <x:c r="V128" s="16" t="n">
        <x:v>0.856</x:v>
      </x:c>
      <x:c r="W128" s="16" t="n">
        <x:v>0.884</x:v>
      </x:c>
      <x:c r="X128" t="str">
        <x:v>none</x:v>
      </x:c>
      <x:c r="Y128" t="str"/>
    </x:row>
    <x:row r="129">
      <x:c r="A129" s="12" t="n">
        <x:v>46243.435960648145</x:v>
      </x:c>
      <x:c r="B129" t="str">
        <x:v>tr_fcf5e795b1b3</x:v>
      </x:c>
      <x:c r="C129" t="str">
        <x:v>sp_4eda1a791d</x:v>
      </x:c>
      <x:c r="D129" t="str">
        <x:v>req_c8782364c5fe</x:v>
      </x:c>
      <x:c r="E129" t="str">
        <x:v>support-copilot</x:v>
      </x:c>
      <x:c r="F129" t="str">
        <x:v>prod</x:v>
      </x:c>
      <x:c r="G129" t="str">
        <x:v>free</x:v>
      </x:c>
      <x:c r="H129" t="str">
        <x:v>gemini-pro</x:v>
      </x:c>
      <x:c r="I129" t="str">
        <x:v>chat_completion</x:v>
      </x:c>
      <x:c r="J129" t="str">
        <x:v>success</x:v>
      </x:c>
      <x:c r="K129" t="n">
        <x:v>774</x:v>
      </x:c>
      <x:c r="L129" t="n">
        <x:v>275</x:v>
      </x:c>
      <x:c r="M129" t="n">
        <x:v>744</x:v>
      </x:c>
      <x:c r="N129" t="n">
        <x:v>386</x:v>
      </x:c>
      <x:c r="O129" t="n">
        <x:f>M129+N129</x:f>
        <x:v>1130</x:v>
      </x:c>
      <x:c r="P129" s="14" t="n">
        <x:f>M129/1000000*VLOOKUP(H129,'Model Rates'!$A$2:$C$5,2,FALSE)+N129/1000000*VLOOKUP(H129,'Model Rates'!$A$2:$C$5,3,FALSE)</x:f>
        <x:v>0.00286</x:v>
      </x:c>
      <x:c r="Q129" t="str">
        <x:v>v2.0</x:v>
      </x:c>
      <x:c r="R129" t="n">
        <x:v>0</x:v>
      </x:c>
      <x:c r="S129" s="1" t="b">
        <x:v>1</x:v>
      </x:c>
      <x:c r="T129" t="str">
        <x:v>pass</x:v>
      </x:c>
      <x:c r="U129" s="16" t="n">
        <x:v>0.001</x:v>
      </x:c>
      <x:c r="V129" s="16" t="n">
        <x:v>0.956</x:v>
      </x:c>
      <x:c r="W129" s="16" t="n">
        <x:v>0.994</x:v>
      </x:c>
      <x:c r="X129" t="str">
        <x:v>none</x:v>
      </x:c>
      <x:c r="Y129" t="str"/>
    </x:row>
    <x:row r="130">
      <x:c r="A130" s="12" t="n">
        <x:v>46243.43785879629</x:v>
      </x:c>
      <x:c r="B130" t="str">
        <x:v>tr_79793f287b94</x:v>
      </x:c>
      <x:c r="C130" t="str">
        <x:v>sp_ad71ff4438</x:v>
      </x:c>
      <x:c r="D130" t="str">
        <x:v>req_1719274c3020</x:v>
      </x:c>
      <x:c r="E130" t="str">
        <x:v>agent-workflow</x:v>
      </x:c>
      <x:c r="F130" t="str">
        <x:v>prod</x:v>
      </x:c>
      <x:c r="G130" t="str">
        <x:v>free</x:v>
      </x:c>
      <x:c r="H130" t="str">
        <x:v>gpt-5-mini</x:v>
      </x:c>
      <x:c r="I130" t="str">
        <x:v>chat_completion</x:v>
      </x:c>
      <x:c r="J130" t="str">
        <x:v>success</x:v>
      </x:c>
      <x:c r="K130" t="n">
        <x:v>925</x:v>
      </x:c>
      <x:c r="L130" t="n">
        <x:v>284</x:v>
      </x:c>
      <x:c r="M130" t="n">
        <x:v>531</x:v>
      </x:c>
      <x:c r="N130" t="n">
        <x:v>298</x:v>
      </x:c>
      <x:c r="O130" t="n">
        <x:f>M130+N130</x:f>
        <x:v>829</x:v>
      </x:c>
      <x:c r="P130" s="14" t="n">
        <x:f>M130/1000000*VLOOKUP(H130,'Model Rates'!$A$2:$C$5,2,FALSE)+N130/1000000*VLOOKUP(H130,'Model Rates'!$A$2:$C$5,3,FALSE)</x:f>
        <x:v>0.0006892000000000001</x:v>
      </x:c>
      <x:c r="Q130" t="str">
        <x:v>v1.8</x:v>
      </x:c>
      <x:c r="R130" t="n">
        <x:v>0</x:v>
      </x:c>
      <x:c r="S130" s="1" t="b">
        <x:v>0</x:v>
      </x:c>
      <x:c r="T130" t="str">
        <x:v>review</x:v>
      </x:c>
      <x:c r="U130" s="16" t="n">
        <x:v>0.107</x:v>
      </x:c>
      <x:c r="V130" s="16" t="n">
        <x:v>0.902</x:v>
      </x:c>
      <x:c r="W130" s="16" t="n">
        <x:v>0.8</x:v>
      </x:c>
      <x:c r="X130" t="str">
        <x:v>none</x:v>
      </x:c>
      <x:c r="Y130" t="str"/>
    </x:row>
    <x:row r="131">
      <x:c r="A131" s="12" t="n">
        <x:v>46243.43881944445</x:v>
      </x:c>
      <x:c r="B131" t="str">
        <x:v>tr_a84c167e9ef7</x:v>
      </x:c>
      <x:c r="C131" t="str">
        <x:v>sp_1179410c8f</x:v>
      </x:c>
      <x:c r="D131" t="str">
        <x:v>req_3d73a096eba8</x:v>
      </x:c>
      <x:c r="E131" t="str">
        <x:v>doc-summarizer</x:v>
      </x:c>
      <x:c r="F131" t="str">
        <x:v>prod</x:v>
      </x:c>
      <x:c r="G131" t="str">
        <x:v>pro</x:v>
      </x:c>
      <x:c r="H131" t="str">
        <x:v>gpt-5-mini</x:v>
      </x:c>
      <x:c r="I131" t="str">
        <x:v>summarization</x:v>
      </x:c>
      <x:c r="J131" t="str">
        <x:v>success</x:v>
      </x:c>
      <x:c r="K131" t="n">
        <x:v>2019</x:v>
      </x:c>
      <x:c r="L131" t="n">
        <x:v>195</x:v>
      </x:c>
      <x:c r="M131" t="n">
        <x:v>796</x:v>
      </x:c>
      <x:c r="N131" t="n">
        <x:v>296</x:v>
      </x:c>
      <x:c r="O131" t="n">
        <x:f>M131+N131</x:f>
        <x:v>1092</x:v>
      </x:c>
      <x:c r="P131" s="14" t="n">
        <x:f>M131/1000000*VLOOKUP(H131,'Model Rates'!$A$2:$C$5,2,FALSE)+N131/1000000*VLOOKUP(H131,'Model Rates'!$A$2:$C$5,3,FALSE)</x:f>
        <x:v>0.0007920000000000001</x:v>
      </x:c>
      <x:c r="Q131" t="str">
        <x:v>v1.9</x:v>
      </x:c>
      <x:c r="R131" t="n">
        <x:v>1</x:v>
      </x:c>
      <x:c r="S131" s="1" t="b">
        <x:v>1</x:v>
      </x:c>
      <x:c r="T131" t="str">
        <x:v>pass</x:v>
      </x:c>
      <x:c r="U131" s="16" t="n">
        <x:v>0.043</x:v>
      </x:c>
      <x:c r="V131" s="16" t="n">
        <x:v>0.797</x:v>
      </x:c>
      <x:c r="W131" s="16" t="n">
        <x:v>1</x:v>
      </x:c>
      <x:c r="X131" t="str">
        <x:v>none</x:v>
      </x:c>
      <x:c r="Y131" t="str"/>
    </x:row>
    <x:row r="132">
      <x:c r="A132" s="12" t="n">
        <x:v>46243.44736111111</x:v>
      </x:c>
      <x:c r="B132" t="str">
        <x:v>tr_cbe96322733e</x:v>
      </x:c>
      <x:c r="C132" t="str">
        <x:v>sp_933fc1c40b</x:v>
      </x:c>
      <x:c r="D132" t="str">
        <x:v>req_301a674d95c1</x:v>
      </x:c>
      <x:c r="E132" t="str">
        <x:v>agent-workflow</x:v>
      </x:c>
      <x:c r="F132" t="str">
        <x:v>prod</x:v>
      </x:c>
      <x:c r="G132" t="str">
        <x:v>pro</x:v>
      </x:c>
      <x:c r="H132" t="str">
        <x:v>gpt-5</x:v>
      </x:c>
      <x:c r="I132" t="str">
        <x:v>tool_agent</x:v>
      </x:c>
      <x:c r="J132" t="str">
        <x:v>success</x:v>
      </x:c>
      <x:c r="K132" t="n">
        <x:v>1542</x:v>
      </x:c>
      <x:c r="L132" t="n">
        <x:v>533</x:v>
      </x:c>
      <x:c r="M132" t="n">
        <x:v>473</x:v>
      </x:c>
      <x:c r="N132" t="n">
        <x:v>162</x:v>
      </x:c>
      <x:c r="O132" t="n">
        <x:f>M132+N132</x:f>
        <x:v>635</x:v>
      </x:c>
      <x:c r="P132" s="14" t="n">
        <x:f>M132/1000000*VLOOKUP(H132,'Model Rates'!$A$2:$C$5,2,FALSE)+N132/1000000*VLOOKUP(H132,'Model Rates'!$A$2:$C$5,3,FALSE)</x:f>
        <x:v>0.00221125</x:v>
      </x:c>
      <x:c r="Q132" t="str">
        <x:v>v2.0</x:v>
      </x:c>
      <x:c r="R132" t="n">
        <x:v>0</x:v>
      </x:c>
      <x:c r="S132" s="1" t="b">
        <x:v>0</x:v>
      </x:c>
      <x:c r="T132" t="str">
        <x:v>pass</x:v>
      </x:c>
      <x:c r="U132" s="16" t="n">
        <x:v>0.105</x:v>
      </x:c>
      <x:c r="V132" s="16" t="n">
        <x:v>0.861</x:v>
      </x:c>
      <x:c r="W132" s="16" t="n">
        <x:v>0.745</x:v>
      </x:c>
      <x:c r="X132" t="str">
        <x:v>none</x:v>
      </x:c>
      <x:c r="Y132" t="str"/>
    </x:row>
    <x:row r="133">
      <x:c r="A133" s="12" t="n">
        <x:v>46243.44768518519</x:v>
      </x:c>
      <x:c r="B133" t="str">
        <x:v>tr_1bebb96b6c63</x:v>
      </x:c>
      <x:c r="C133" t="str">
        <x:v>sp_37b079e7c8</x:v>
      </x:c>
      <x:c r="D133" t="str">
        <x:v>req_cd5f771e2e5f</x:v>
      </x:c>
      <x:c r="E133" t="str">
        <x:v>agent-workflow</x:v>
      </x:c>
      <x:c r="F133" t="str">
        <x:v>prod</x:v>
      </x:c>
      <x:c r="G133" t="str">
        <x:v>free</x:v>
      </x:c>
      <x:c r="H133" t="str">
        <x:v>gpt-5</x:v>
      </x:c>
      <x:c r="I133" t="str">
        <x:v>tool_agent</x:v>
      </x:c>
      <x:c r="J133" t="str">
        <x:v>success</x:v>
      </x:c>
      <x:c r="K133" t="n">
        <x:v>3878</x:v>
      </x:c>
      <x:c r="L133" t="n">
        <x:v>557</x:v>
      </x:c>
      <x:c r="M133" t="n">
        <x:v>713</x:v>
      </x:c>
      <x:c r="N133" t="n">
        <x:v>377</x:v>
      </x:c>
      <x:c r="O133" t="n">
        <x:f>M133+N133</x:f>
        <x:v>1090</x:v>
      </x:c>
      <x:c r="P133" s="14" t="n">
        <x:f>M133/1000000*VLOOKUP(H133,'Model Rates'!$A$2:$C$5,2,FALSE)+N133/1000000*VLOOKUP(H133,'Model Rates'!$A$2:$C$5,3,FALSE)</x:f>
        <x:v>0.00466125</x:v>
      </x:c>
      <x:c r="Q133" t="str">
        <x:v>v2.0</x:v>
      </x:c>
      <x:c r="R133" t="n">
        <x:v>3</x:v>
      </x:c>
      <x:c r="S133" s="1" t="b">
        <x:v>0</x:v>
      </x:c>
      <x:c r="T133" t="str">
        <x:v>pass</x:v>
      </x:c>
      <x:c r="U133" s="16" t="n">
        <x:v>0.058</x:v>
      </x:c>
      <x:c r="V133" s="16" t="n">
        <x:v>0.911</x:v>
      </x:c>
      <x:c r="W133" s="16" t="n">
        <x:v>0.738</x:v>
      </x:c>
      <x:c r="X133" t="str">
        <x:v>none</x:v>
      </x:c>
      <x:c r="Y133" t="str"/>
    </x:row>
    <x:row r="134">
      <x:c r="A134" s="12" t="n">
        <x:v>46243.44773148148</x:v>
      </x:c>
      <x:c r="B134" t="str">
        <x:v>tr_828b74058de2</x:v>
      </x:c>
      <x:c r="C134" t="str">
        <x:v>sp_495759b45a</x:v>
      </x:c>
      <x:c r="D134" t="str">
        <x:v>req_f1fcf1b21e1f</x:v>
      </x:c>
      <x:c r="E134" t="str">
        <x:v>doc-summarizer</x:v>
      </x:c>
      <x:c r="F134" t="str">
        <x:v>prod</x:v>
      </x:c>
      <x:c r="G134" t="str">
        <x:v>pro</x:v>
      </x:c>
      <x:c r="H134" t="str">
        <x:v>claude-sonnet</x:v>
      </x:c>
      <x:c r="I134" t="str">
        <x:v>chat_completion</x:v>
      </x:c>
      <x:c r="J134" t="str">
        <x:v>success</x:v>
      </x:c>
      <x:c r="K134" t="n">
        <x:v>1564</x:v>
      </x:c>
      <x:c r="L134" t="n">
        <x:v>333</x:v>
      </x:c>
      <x:c r="M134" t="n">
        <x:v>3451</x:v>
      </x:c>
      <x:c r="N134" t="n">
        <x:v>409</x:v>
      </x:c>
      <x:c r="O134" t="n">
        <x:f>M134+N134</x:f>
        <x:v>3860</x:v>
      </x:c>
      <x:c r="P134" s="14" t="n">
        <x:f>M134/1000000*VLOOKUP(H134,'Model Rates'!$A$2:$C$5,2,FALSE)+N134/1000000*VLOOKUP(H134,'Model Rates'!$A$2:$C$5,3,FALSE)</x:f>
        <x:v>0.016488000000000003</x:v>
      </x:c>
      <x:c r="Q134" t="str">
        <x:v>v1.9</x:v>
      </x:c>
      <x:c r="R134" t="n">
        <x:v>1</x:v>
      </x:c>
      <x:c r="S134" s="1" t="b">
        <x:v>1</x:v>
      </x:c>
      <x:c r="T134" t="str">
        <x:v>blocked</x:v>
      </x:c>
      <x:c r="U134" s="16" t="n">
        <x:v>0.037</x:v>
      </x:c>
      <x:c r="V134" s="16" t="n">
        <x:v>0.893</x:v>
      </x:c>
      <x:c r="W134" s="16" t="n">
        <x:v>0.967</x:v>
      </x:c>
      <x:c r="X134" t="str">
        <x:v>none</x:v>
      </x:c>
      <x:c r="Y134" t="str"/>
    </x:row>
    <x:row r="135">
      <x:c r="A135" s="12" t="n">
        <x:v>46243.44834490741</x:v>
      </x:c>
      <x:c r="B135" t="str">
        <x:v>tr_6d5708d696b6</x:v>
      </x:c>
      <x:c r="C135" t="str">
        <x:v>sp_6f9820892d</x:v>
      </x:c>
      <x:c r="D135" t="str">
        <x:v>req_4969fc0e7fb8</x:v>
      </x:c>
      <x:c r="E135" t="str">
        <x:v>search-assistant</x:v>
      </x:c>
      <x:c r="F135" t="str">
        <x:v>prod</x:v>
      </x:c>
      <x:c r="G135" t="str">
        <x:v>free</x:v>
      </x:c>
      <x:c r="H135" t="str">
        <x:v>gpt-5</x:v>
      </x:c>
      <x:c r="I135" t="str">
        <x:v>retrieval_answer</x:v>
      </x:c>
      <x:c r="J135" t="str">
        <x:v>success</x:v>
      </x:c>
      <x:c r="K135" t="n">
        <x:v>1173</x:v>
      </x:c>
      <x:c r="L135" t="n">
        <x:v>506</x:v>
      </x:c>
      <x:c r="M135" t="n">
        <x:v>1048</x:v>
      </x:c>
      <x:c r="N135" t="n">
        <x:v>214</x:v>
      </x:c>
      <x:c r="O135" t="n">
        <x:f>M135+N135</x:f>
        <x:v>1262</x:v>
      </x:c>
      <x:c r="P135" s="14" t="n">
        <x:f>M135/1000000*VLOOKUP(H135,'Model Rates'!$A$2:$C$5,2,FALSE)+N135/1000000*VLOOKUP(H135,'Model Rates'!$A$2:$C$5,3,FALSE)</x:f>
        <x:v>0.00345</x:v>
      </x:c>
      <x:c r="Q135" t="str">
        <x:v>v1.8</x:v>
      </x:c>
      <x:c r="R135" t="n">
        <x:v>0</x:v>
      </x:c>
      <x:c r="S135" s="1" t="b">
        <x:v>0</x:v>
      </x:c>
      <x:c r="T135" t="str">
        <x:v>pass</x:v>
      </x:c>
      <x:c r="U135" s="16" t="n">
        <x:v>0.106</x:v>
      </x:c>
      <x:c r="V135" s="16" t="n">
        <x:v>1</x:v>
      </x:c>
      <x:c r="W135" s="16" t="n">
        <x:v>0.807</x:v>
      </x:c>
      <x:c r="X135" t="str">
        <x:v>positive</x:v>
      </x:c>
      <x:c r="Y135" t="str"/>
    </x:row>
    <x:row r="136">
      <x:c r="A136" s="12" t="n">
        <x:v>46243.458125</x:v>
      </x:c>
      <x:c r="B136" t="str">
        <x:v>tr_b5e228daf5fd</x:v>
      </x:c>
      <x:c r="C136" t="str">
        <x:v>sp_ed2bd3257e</x:v>
      </x:c>
      <x:c r="D136" t="str">
        <x:v>req_b1929d273332</x:v>
      </x:c>
      <x:c r="E136" t="str">
        <x:v>doc-summarizer</x:v>
      </x:c>
      <x:c r="F136" t="str">
        <x:v>prod</x:v>
      </x:c>
      <x:c r="G136" t="str">
        <x:v>pro</x:v>
      </x:c>
      <x:c r="H136" t="str">
        <x:v>claude-sonnet</x:v>
      </x:c>
      <x:c r="I136" t="str">
        <x:v>tool_agent</x:v>
      </x:c>
      <x:c r="J136" t="str">
        <x:v>success</x:v>
      </x:c>
      <x:c r="K136" t="n">
        <x:v>1816</x:v>
      </x:c>
      <x:c r="L136" t="n">
        <x:v>329</x:v>
      </x:c>
      <x:c r="M136" t="n">
        <x:v>1727</x:v>
      </x:c>
      <x:c r="N136" t="n">
        <x:v>1005</x:v>
      </x:c>
      <x:c r="O136" t="n">
        <x:f>M136+N136</x:f>
        <x:v>2732</x:v>
      </x:c>
      <x:c r="P136" s="14" t="n">
        <x:f>M136/1000000*VLOOKUP(H136,'Model Rates'!$A$2:$C$5,2,FALSE)+N136/1000000*VLOOKUP(H136,'Model Rates'!$A$2:$C$5,3,FALSE)</x:f>
        <x:v>0.020256</x:v>
      </x:c>
      <x:c r="Q136" t="str">
        <x:v>v1.9</x:v>
      </x:c>
      <x:c r="R136" t="n">
        <x:v>0</x:v>
      </x:c>
      <x:c r="S136" s="1" t="b">
        <x:v>0</x:v>
      </x:c>
      <x:c r="T136" t="str">
        <x:v>pass</x:v>
      </x:c>
      <x:c r="U136" s="16" t="n">
        <x:v>0.088</x:v>
      </x:c>
      <x:c r="V136" s="16" t="n">
        <x:v>0.838</x:v>
      </x:c>
      <x:c r="W136" s="16" t="n">
        <x:v>0.568</x:v>
      </x:c>
      <x:c r="X136" t="str">
        <x:v>none</x:v>
      </x:c>
      <x:c r="Y136" t="str"/>
    </x:row>
    <x:row r="137">
      <x:c r="A137" s="12" t="n">
        <x:v>46243.45835648148</x:v>
      </x:c>
      <x:c r="B137" t="str">
        <x:v>tr_c35d763229a3</x:v>
      </x:c>
      <x:c r="C137" t="str">
        <x:v>sp_1f9a21697e</x:v>
      </x:c>
      <x:c r="D137" t="str">
        <x:v>req_332927c8188c</x:v>
      </x:c>
      <x:c r="E137" t="str">
        <x:v>agent-workflow</x:v>
      </x:c>
      <x:c r="F137" t="str">
        <x:v>prod</x:v>
      </x:c>
      <x:c r="G137" t="str">
        <x:v>free</x:v>
      </x:c>
      <x:c r="H137" t="str">
        <x:v>gpt-5</x:v>
      </x:c>
      <x:c r="I137" t="str">
        <x:v>summarization</x:v>
      </x:c>
      <x:c r="J137" t="str">
        <x:v>success</x:v>
      </x:c>
      <x:c r="K137" t="n">
        <x:v>2008</x:v>
      </x:c>
      <x:c r="L137" t="n">
        <x:v>405</x:v>
      </x:c>
      <x:c r="M137" t="n">
        <x:v>1051</x:v>
      </x:c>
      <x:c r="N137" t="n">
        <x:v>135</x:v>
      </x:c>
      <x:c r="O137" t="n">
        <x:f>M137+N137</x:f>
        <x:v>1186</x:v>
      </x:c>
      <x:c r="P137" s="14" t="n">
        <x:f>M137/1000000*VLOOKUP(H137,'Model Rates'!$A$2:$C$5,2,FALSE)+N137/1000000*VLOOKUP(H137,'Model Rates'!$A$2:$C$5,3,FALSE)</x:f>
        <x:v>0.0026637500000000003</x:v>
      </x:c>
      <x:c r="Q137" t="str">
        <x:v>v1.8</x:v>
      </x:c>
      <x:c r="R137" t="n">
        <x:v>0</x:v>
      </x:c>
      <x:c r="S137" s="1" t="b">
        <x:v>0</x:v>
      </x:c>
      <x:c r="T137" t="str">
        <x:v>blocked</x:v>
      </x:c>
      <x:c r="U137" s="16" t="n">
        <x:v>0</x:v>
      </x:c>
      <x:c r="V137" s="16" t="n">
        <x:v>0.979</x:v>
      </x:c>
      <x:c r="W137" s="16" t="n">
        <x:v>0.804</x:v>
      </x:c>
      <x:c r="X137" t="str">
        <x:v>positive</x:v>
      </x:c>
      <x:c r="Y137" t="str"/>
    </x:row>
    <x:row r="138">
      <x:c r="A138" s="12" t="n">
        <x:v>46243.46650462963</x:v>
      </x:c>
      <x:c r="B138" t="str">
        <x:v>tr_d9d928c1b1a5</x:v>
      </x:c>
      <x:c r="C138" t="str">
        <x:v>sp_57bd29ebe1</x:v>
      </x:c>
      <x:c r="D138" t="str">
        <x:v>req_9d8898ea55dc</x:v>
      </x:c>
      <x:c r="E138" t="str">
        <x:v>search-assistant</x:v>
      </x:c>
      <x:c r="F138" t="str">
        <x:v>prod</x:v>
      </x:c>
      <x:c r="G138" t="str">
        <x:v>enterprise</x:v>
      </x:c>
      <x:c r="H138" t="str">
        <x:v>gpt-5-mini</x:v>
      </x:c>
      <x:c r="I138" t="str">
        <x:v>chat_completion</x:v>
      </x:c>
      <x:c r="J138" t="str">
        <x:v>error</x:v>
      </x:c>
      <x:c r="K138" t="n">
        <x:v>2272</x:v>
      </x:c>
      <x:c r="L138" t="n">
        <x:v>219</x:v>
      </x:c>
      <x:c r="M138" t="n">
        <x:v>3294</x:v>
      </x:c>
      <x:c r="N138" t="n">
        <x:v>92</x:v>
      </x:c>
      <x:c r="O138" t="n">
        <x:f>M138+N138</x:f>
        <x:v>3386</x:v>
      </x:c>
      <x:c r="P138" s="14" t="n">
        <x:f>M138/1000000*VLOOKUP(H138,'Model Rates'!$A$2:$C$5,2,FALSE)+N138/1000000*VLOOKUP(H138,'Model Rates'!$A$2:$C$5,3,FALSE)</x:f>
        <x:v>0.0014648</x:v>
      </x:c>
      <x:c r="Q138" t="str">
        <x:v>v2.0</x:v>
      </x:c>
      <x:c r="R138" t="n">
        <x:v>2</x:v>
      </x:c>
      <x:c r="S138" s="1" t="b">
        <x:v>1</x:v>
      </x:c>
      <x:c r="T138" t="str">
        <x:v>blocked</x:v>
      </x:c>
      <x:c r="U138" s="16" t="n">
        <x:v>0.136</x:v>
      </x:c>
      <x:c r="V138" s="16" t="n">
        <x:v>0.608</x:v>
      </x:c>
      <x:c r="W138" s="16" t="n">
        <x:v>0.438</x:v>
      </x:c>
      <x:c r="X138" t="str">
        <x:v>negative</x:v>
      </x:c>
      <x:c r="Y138" t="str">
        <x:v>provider_5xx</x:v>
      </x:c>
    </x:row>
    <x:row r="139">
      <x:c r="A139" s="12" t="n">
        <x:v>46243.470625</x:v>
      </x:c>
      <x:c r="B139" t="str">
        <x:v>tr_64a0b312fc1f</x:v>
      </x:c>
      <x:c r="C139" t="str">
        <x:v>sp_6ff68e4c66</x:v>
      </x:c>
      <x:c r="D139" t="str">
        <x:v>req_9efc2c069049</x:v>
      </x:c>
      <x:c r="E139" t="str">
        <x:v>agent-workflow</x:v>
      </x:c>
      <x:c r="F139" t="str">
        <x:v>prod</x:v>
      </x:c>
      <x:c r="G139" t="str">
        <x:v>pro</x:v>
      </x:c>
      <x:c r="H139" t="str">
        <x:v>gemini-pro</x:v>
      </x:c>
      <x:c r="I139" t="str">
        <x:v>chat_completion</x:v>
      </x:c>
      <x:c r="J139" t="str">
        <x:v>success</x:v>
      </x:c>
      <x:c r="K139" t="n">
        <x:v>1272</x:v>
      </x:c>
      <x:c r="L139" t="n">
        <x:v>277</x:v>
      </x:c>
      <x:c r="M139" t="n">
        <x:v>657</x:v>
      </x:c>
      <x:c r="N139" t="n">
        <x:v>664</x:v>
      </x:c>
      <x:c r="O139" t="n">
        <x:f>M139+N139</x:f>
        <x:v>1321</x:v>
      </x:c>
      <x:c r="P139" s="14" t="n">
        <x:f>M139/1000000*VLOOKUP(H139,'Model Rates'!$A$2:$C$5,2,FALSE)+N139/1000000*VLOOKUP(H139,'Model Rates'!$A$2:$C$5,3,FALSE)</x:f>
        <x:v>0.00414125</x:v>
      </x:c>
      <x:c r="Q139" t="str">
        <x:v>v1.8</x:v>
      </x:c>
      <x:c r="R139" t="n">
        <x:v>1</x:v>
      </x:c>
      <x:c r="S139" s="1" t="b">
        <x:v>0</x:v>
      </x:c>
      <x:c r="T139" t="str">
        <x:v>pass</x:v>
      </x:c>
      <x:c r="U139" s="16" t="n">
        <x:v>0.141</x:v>
      </x:c>
      <x:c r="V139" s="16" t="n">
        <x:v>0.977</x:v>
      </x:c>
      <x:c r="W139" s="16" t="n">
        <x:v>0.871</x:v>
      </x:c>
      <x:c r="X139" t="str">
        <x:v>none</x:v>
      </x:c>
      <x:c r="Y139" t="str"/>
    </x:row>
    <x:row r="140">
      <x:c r="A140" s="12" t="n">
        <x:v>46243.47175925926</x:v>
      </x:c>
      <x:c r="B140" t="str">
        <x:v>tr_e4768a77cbc0</x:v>
      </x:c>
      <x:c r="C140" t="str">
        <x:v>sp_c993bc93d3</x:v>
      </x:c>
      <x:c r="D140" t="str">
        <x:v>req_a93912f0ee7e</x:v>
      </x:c>
      <x:c r="E140" t="str">
        <x:v>doc-summarizer</x:v>
      </x:c>
      <x:c r="F140" t="str">
        <x:v>prod</x:v>
      </x:c>
      <x:c r="G140" t="str">
        <x:v>free</x:v>
      </x:c>
      <x:c r="H140" t="str">
        <x:v>gpt-5</x:v>
      </x:c>
      <x:c r="I140" t="str">
        <x:v>tool_agent</x:v>
      </x:c>
      <x:c r="J140" t="str">
        <x:v>success</x:v>
      </x:c>
      <x:c r="K140" t="n">
        <x:v>2289</x:v>
      </x:c>
      <x:c r="L140" t="n">
        <x:v>180</x:v>
      </x:c>
      <x:c r="M140" t="n">
        <x:v>863</x:v>
      </x:c>
      <x:c r="N140" t="n">
        <x:v>542</x:v>
      </x:c>
      <x:c r="O140" t="n">
        <x:f>M140+N140</x:f>
        <x:v>1405</x:v>
      </x:c>
      <x:c r="P140" s="14" t="n">
        <x:f>M140/1000000*VLOOKUP(H140,'Model Rates'!$A$2:$C$5,2,FALSE)+N140/1000000*VLOOKUP(H140,'Model Rates'!$A$2:$C$5,3,FALSE)</x:f>
        <x:v>0.006498749999999999</x:v>
      </x:c>
      <x:c r="Q140" t="str">
        <x:v>v1.9</x:v>
      </x:c>
      <x:c r="R140" t="n">
        <x:v>1</x:v>
      </x:c>
      <x:c r="S140" s="1" t="b">
        <x:v>0</x:v>
      </x:c>
      <x:c r="T140" t="str">
        <x:v>pass</x:v>
      </x:c>
      <x:c r="U140" s="16" t="n">
        <x:v>0.1</x:v>
      </x:c>
      <x:c r="V140" s="16" t="n">
        <x:v>0.849</x:v>
      </x:c>
      <x:c r="W140" s="16" t="n">
        <x:v>0.726</x:v>
      </x:c>
      <x:c r="X140" t="str">
        <x:v>none</x:v>
      </x:c>
      <x:c r="Y140" t="str"/>
    </x:row>
    <x:row r="141">
      <x:c r="A141" s="12" t="n">
        <x:v>46243.47403935185</x:v>
      </x:c>
      <x:c r="B141" t="str">
        <x:v>tr_81d0653c815e</x:v>
      </x:c>
      <x:c r="C141" t="str">
        <x:v>sp_ce8888ab76</x:v>
      </x:c>
      <x:c r="D141" t="str">
        <x:v>req_3579672575b9</x:v>
      </x:c>
      <x:c r="E141" t="str">
        <x:v>doc-summarizer</x:v>
      </x:c>
      <x:c r="F141" t="str">
        <x:v>prod</x:v>
      </x:c>
      <x:c r="G141" t="str">
        <x:v>free</x:v>
      </x:c>
      <x:c r="H141" t="str">
        <x:v>gpt-5-mini</x:v>
      </x:c>
      <x:c r="I141" t="str">
        <x:v>tool_agent</x:v>
      </x:c>
      <x:c r="J141" t="str">
        <x:v>success</x:v>
      </x:c>
      <x:c r="K141" t="n">
        <x:v>943</x:v>
      </x:c>
      <x:c r="L141" t="n">
        <x:v>250</x:v>
      </x:c>
      <x:c r="M141" t="n">
        <x:v>581</x:v>
      </x:c>
      <x:c r="N141" t="n">
        <x:v>191</x:v>
      </x:c>
      <x:c r="O141" t="n">
        <x:f>M141+N141</x:f>
        <x:v>772</x:v>
      </x:c>
      <x:c r="P141" s="14" t="n">
        <x:f>M141/1000000*VLOOKUP(H141,'Model Rates'!$A$2:$C$5,2,FALSE)+N141/1000000*VLOOKUP(H141,'Model Rates'!$A$2:$C$5,3,FALSE)</x:f>
        <x:v>0.0005380000000000001</x:v>
      </x:c>
      <x:c r="Q141" t="str">
        <x:v>v1.9</x:v>
      </x:c>
      <x:c r="R141" t="n">
        <x:v>0</x:v>
      </x:c>
      <x:c r="S141" s="1" t="b">
        <x:v>1</x:v>
      </x:c>
      <x:c r="T141" t="str">
        <x:v>review</x:v>
      </x:c>
      <x:c r="U141" s="16" t="n">
        <x:v>0.027</x:v>
      </x:c>
      <x:c r="V141" s="16" t="n">
        <x:v>0.99</x:v>
      </x:c>
      <x:c r="W141" s="16" t="n">
        <x:v>0.943</x:v>
      </x:c>
      <x:c r="X141" t="str">
        <x:v>none</x:v>
      </x:c>
      <x:c r="Y141" t="str"/>
    </x:row>
    <x:row r="142">
      <x:c r="A142" s="12" t="n">
        <x:v>46243.47712962963</x:v>
      </x:c>
      <x:c r="B142" t="str">
        <x:v>tr_1d03cc38a56c</x:v>
      </x:c>
      <x:c r="C142" t="str">
        <x:v>sp_2151a3cb78</x:v>
      </x:c>
      <x:c r="D142" t="str">
        <x:v>req_060af7cce099</x:v>
      </x:c>
      <x:c r="E142" t="str">
        <x:v>support-copilot</x:v>
      </x:c>
      <x:c r="F142" t="str">
        <x:v>staging</x:v>
      </x:c>
      <x:c r="G142" t="str">
        <x:v>free</x:v>
      </x:c>
      <x:c r="H142" t="str">
        <x:v>gpt-5-mini</x:v>
      </x:c>
      <x:c r="I142" t="str">
        <x:v>chat_completion</x:v>
      </x:c>
      <x:c r="J142" t="str">
        <x:v>success</x:v>
      </x:c>
      <x:c r="K142" t="n">
        <x:v>1213</x:v>
      </x:c>
      <x:c r="L142" t="n">
        <x:v>146</x:v>
      </x:c>
      <x:c r="M142" t="n">
        <x:v>1283</x:v>
      </x:c>
      <x:c r="N142" t="n">
        <x:v>235</x:v>
      </x:c>
      <x:c r="O142" t="n">
        <x:f>M142+N142</x:f>
        <x:v>1518</x:v>
      </x:c>
      <x:c r="P142" s="14" t="n">
        <x:f>M142/1000000*VLOOKUP(H142,'Model Rates'!$A$2:$C$5,2,FALSE)+N142/1000000*VLOOKUP(H142,'Model Rates'!$A$2:$C$5,3,FALSE)</x:f>
        <x:v>0.0008892</x:v>
      </x:c>
      <x:c r="Q142" t="str">
        <x:v>v1.9</x:v>
      </x:c>
      <x:c r="R142" t="n">
        <x:v>0</x:v>
      </x:c>
      <x:c r="S142" s="1" t="b">
        <x:v>0</x:v>
      </x:c>
      <x:c r="T142" t="str">
        <x:v>review</x:v>
      </x:c>
      <x:c r="U142" s="16" t="n">
        <x:v>0.122</x:v>
      </x:c>
      <x:c r="V142" s="16" t="n">
        <x:v>0.792</x:v>
      </x:c>
      <x:c r="W142" s="16" t="n">
        <x:v>0.922</x:v>
      </x:c>
      <x:c r="X142" t="str">
        <x:v>none</x:v>
      </x:c>
      <x:c r="Y142" t="str"/>
    </x:row>
    <x:row r="143">
      <x:c r="A143" s="12" t="n">
        <x:v>46243.47922453703</x:v>
      </x:c>
      <x:c r="B143" t="str">
        <x:v>tr_f3cbe60592b8</x:v>
      </x:c>
      <x:c r="C143" t="str">
        <x:v>sp_faf2606653</x:v>
      </x:c>
      <x:c r="D143" t="str">
        <x:v>req_e8042840bc75</x:v>
      </x:c>
      <x:c r="E143" t="str">
        <x:v>support-copilot</x:v>
      </x:c>
      <x:c r="F143" t="str">
        <x:v>prod</x:v>
      </x:c>
      <x:c r="G143" t="str">
        <x:v>pro</x:v>
      </x:c>
      <x:c r="H143" t="str">
        <x:v>gpt-5-mini</x:v>
      </x:c>
      <x:c r="I143" t="str">
        <x:v>summarization</x:v>
      </x:c>
      <x:c r="J143" t="str">
        <x:v>success</x:v>
      </x:c>
      <x:c r="K143" t="n">
        <x:v>2696</x:v>
      </x:c>
      <x:c r="L143" t="n">
        <x:v>329</x:v>
      </x:c>
      <x:c r="M143" t="n">
        <x:v>529</x:v>
      </x:c>
      <x:c r="N143" t="n">
        <x:v>304</x:v>
      </x:c>
      <x:c r="O143" t="n">
        <x:f>M143+N143</x:f>
        <x:v>833</x:v>
      </x:c>
      <x:c r="P143" s="14" t="n">
        <x:f>M143/1000000*VLOOKUP(H143,'Model Rates'!$A$2:$C$5,2,FALSE)+N143/1000000*VLOOKUP(H143,'Model Rates'!$A$2:$C$5,3,FALSE)</x:f>
        <x:v>0.000698</x:v>
      </x:c>
      <x:c r="Q143" t="str">
        <x:v>v2.0</x:v>
      </x:c>
      <x:c r="R143" t="n">
        <x:v>3</x:v>
      </x:c>
      <x:c r="S143" s="1" t="b">
        <x:v>0</x:v>
      </x:c>
      <x:c r="T143" t="str">
        <x:v>pass</x:v>
      </x:c>
      <x:c r="U143" s="16" t="n">
        <x:v>0.079</x:v>
      </x:c>
      <x:c r="V143" s="16" t="n">
        <x:v>0.821</x:v>
      </x:c>
      <x:c r="W143" s="16" t="n">
        <x:v>0.962</x:v>
      </x:c>
      <x:c r="X143" t="str">
        <x:v>positive</x:v>
      </x:c>
      <x:c r="Y143" t="str"/>
    </x:row>
    <x:row r="144">
      <x:c r="A144" s="12" t="n">
        <x:v>46243.48180555556</x:v>
      </x:c>
      <x:c r="B144" t="str">
        <x:v>tr_81818e558802</x:v>
      </x:c>
      <x:c r="C144" t="str">
        <x:v>sp_1ee6875ee9</x:v>
      </x:c>
      <x:c r="D144" t="str">
        <x:v>req_add51adf0595</x:v>
      </x:c>
      <x:c r="E144" t="str">
        <x:v>search-assistant</x:v>
      </x:c>
      <x:c r="F144" t="str">
        <x:v>prod</x:v>
      </x:c>
      <x:c r="G144" t="str">
        <x:v>pro</x:v>
      </x:c>
      <x:c r="H144" t="str">
        <x:v>claude-sonnet</x:v>
      </x:c>
      <x:c r="I144" t="str">
        <x:v>retrieval_answer</x:v>
      </x:c>
      <x:c r="J144" t="str">
        <x:v>success</x:v>
      </x:c>
      <x:c r="K144" t="n">
        <x:v>2151</x:v>
      </x:c>
      <x:c r="L144" t="n">
        <x:v>423</x:v>
      </x:c>
      <x:c r="M144" t="n">
        <x:v>1779</x:v>
      </x:c>
      <x:c r="N144" t="n">
        <x:v>953</x:v>
      </x:c>
      <x:c r="O144" t="n">
        <x:f>M144+N144</x:f>
        <x:v>2732</x:v>
      </x:c>
      <x:c r="P144" s="14" t="n">
        <x:f>M144/1000000*VLOOKUP(H144,'Model Rates'!$A$2:$C$5,2,FALSE)+N144/1000000*VLOOKUP(H144,'Model Rates'!$A$2:$C$5,3,FALSE)</x:f>
        <x:v>0.019631999999999997</x:v>
      </x:c>
      <x:c r="Q144" t="str">
        <x:v>v1.8</x:v>
      </x:c>
      <x:c r="R144" t="n">
        <x:v>1</x:v>
      </x:c>
      <x:c r="S144" s="1" t="b">
        <x:v>0</x:v>
      </x:c>
      <x:c r="T144" t="str">
        <x:v>pass</x:v>
      </x:c>
      <x:c r="U144" s="16" t="n">
        <x:v>0.07</x:v>
      </x:c>
      <x:c r="V144" s="16" t="n">
        <x:v>0.91</x:v>
      </x:c>
      <x:c r="W144" s="16" t="n">
        <x:v>0.709</x:v>
      </x:c>
      <x:c r="X144" t="str">
        <x:v>positive</x:v>
      </x:c>
      <x:c r="Y144" t="str"/>
    </x:row>
    <x:row r="145">
      <x:c r="A145" s="12" t="n">
        <x:v>46243.487222222226</x:v>
      </x:c>
      <x:c r="B145" t="str">
        <x:v>tr_03d0168a85c2</x:v>
      </x:c>
      <x:c r="C145" t="str">
        <x:v>sp_5cd711d3d6</x:v>
      </x:c>
      <x:c r="D145" t="str">
        <x:v>req_3240e1ab26de</x:v>
      </x:c>
      <x:c r="E145" t="str">
        <x:v>support-copilot</x:v>
      </x:c>
      <x:c r="F145" t="str">
        <x:v>prod</x:v>
      </x:c>
      <x:c r="G145" t="str">
        <x:v>free</x:v>
      </x:c>
      <x:c r="H145" t="str">
        <x:v>gpt-5-mini</x:v>
      </x:c>
      <x:c r="I145" t="str">
        <x:v>tool_agent</x:v>
      </x:c>
      <x:c r="J145" t="str">
        <x:v>error</x:v>
      </x:c>
      <x:c r="K145" t="n">
        <x:v>449</x:v>
      </x:c>
      <x:c r="L145" t="n">
        <x:v>406</x:v>
      </x:c>
      <x:c r="M145" t="n">
        <x:v>1025</x:v>
      </x:c>
      <x:c r="N145" t="n">
        <x:v>566</x:v>
      </x:c>
      <x:c r="O145" t="n">
        <x:f>M145+N145</x:f>
        <x:v>1591</x:v>
      </x:c>
      <x:c r="P145" s="14" t="n">
        <x:f>M145/1000000*VLOOKUP(H145,'Model Rates'!$A$2:$C$5,2,FALSE)+N145/1000000*VLOOKUP(H145,'Model Rates'!$A$2:$C$5,3,FALSE)</x:f>
        <x:v>0.0013156</x:v>
      </x:c>
      <x:c r="Q145" t="str">
        <x:v>v1.9</x:v>
      </x:c>
      <x:c r="R145" t="n">
        <x:v>0</x:v>
      </x:c>
      <x:c r="S145" s="1" t="b">
        <x:v>0</x:v>
      </x:c>
      <x:c r="T145" t="str">
        <x:v>review</x:v>
      </x:c>
      <x:c r="U145" s="16" t="n">
        <x:v>0.123</x:v>
      </x:c>
      <x:c r="V145" s="16" t="n">
        <x:v>0.612</x:v>
      </x:c>
      <x:c r="W145" s="16" t="n">
        <x:v>0.398</x:v>
      </x:c>
      <x:c r="X145" t="str">
        <x:v>positive</x:v>
      </x:c>
      <x:c r="Y145" t="str">
        <x:v>timeout</x:v>
      </x:c>
    </x:row>
    <x:row r="146">
      <x:c r="A146" s="12" t="n">
        <x:v>46243.48788194444</x:v>
      </x:c>
      <x:c r="B146" t="str">
        <x:v>tr_f99d1f8066e1</x:v>
      </x:c>
      <x:c r="C146" t="str">
        <x:v>sp_e6cc81ef18</x:v>
      </x:c>
      <x:c r="D146" t="str">
        <x:v>req_063404908c1d</x:v>
      </x:c>
      <x:c r="E146" t="str">
        <x:v>search-assistant</x:v>
      </x:c>
      <x:c r="F146" t="str">
        <x:v>prod</x:v>
      </x:c>
      <x:c r="G146" t="str">
        <x:v>pro</x:v>
      </x:c>
      <x:c r="H146" t="str">
        <x:v>gpt-5-mini</x:v>
      </x:c>
      <x:c r="I146" t="str">
        <x:v>chat_completion</x:v>
      </x:c>
      <x:c r="J146" t="str">
        <x:v>error</x:v>
      </x:c>
      <x:c r="K146" t="n">
        <x:v>797</x:v>
      </x:c>
      <x:c r="L146" t="n">
        <x:v>224</x:v>
      </x:c>
      <x:c r="M146" t="n">
        <x:v>1024</x:v>
      </x:c>
      <x:c r="N146" t="n">
        <x:v>86</x:v>
      </x:c>
      <x:c r="O146" t="n">
        <x:f>M146+N146</x:f>
        <x:v>1110</x:v>
      </x:c>
      <x:c r="P146" s="14" t="n">
        <x:f>M146/1000000*VLOOKUP(H146,'Model Rates'!$A$2:$C$5,2,FALSE)+N146/1000000*VLOOKUP(H146,'Model Rates'!$A$2:$C$5,3,FALSE)</x:f>
        <x:v>0.0005472</x:v>
      </x:c>
      <x:c r="Q146" t="str">
        <x:v>v2.0</x:v>
      </x:c>
      <x:c r="R146" t="n">
        <x:v>0</x:v>
      </x:c>
      <x:c r="S146" s="1" t="b">
        <x:v>0</x:v>
      </x:c>
      <x:c r="T146" t="str">
        <x:v>pass</x:v>
      </x:c>
      <x:c r="U146" s="16" t="n">
        <x:v>0.245</x:v>
      </x:c>
      <x:c r="V146" s="16" t="n">
        <x:v>0.555</x:v>
      </x:c>
      <x:c r="W146" s="16" t="n">
        <x:v>0.766</x:v>
      </x:c>
      <x:c r="X146" t="str">
        <x:v>none</x:v>
      </x:c>
      <x:c r="Y146" t="str">
        <x:v>tool_error</x:v>
      </x:c>
    </x:row>
    <x:row r="147">
      <x:c r="A147" s="12" t="n">
        <x:v>46243.48947916667</x:v>
      </x:c>
      <x:c r="B147" t="str">
        <x:v>tr_b67329738af1</x:v>
      </x:c>
      <x:c r="C147" t="str">
        <x:v>sp_95edcb2d5e</x:v>
      </x:c>
      <x:c r="D147" t="str">
        <x:v>req_0b60049fdfaa</x:v>
      </x:c>
      <x:c r="E147" t="str">
        <x:v>search-assistant</x:v>
      </x:c>
      <x:c r="F147" t="str">
        <x:v>prod</x:v>
      </x:c>
      <x:c r="G147" t="str">
        <x:v>enterprise</x:v>
      </x:c>
      <x:c r="H147" t="str">
        <x:v>gemini-pro</x:v>
      </x:c>
      <x:c r="I147" t="str">
        <x:v>summarization</x:v>
      </x:c>
      <x:c r="J147" t="str">
        <x:v>success</x:v>
      </x:c>
      <x:c r="K147" t="n">
        <x:v>811</x:v>
      </x:c>
      <x:c r="L147" t="n">
        <x:v>276</x:v>
      </x:c>
      <x:c r="M147" t="n">
        <x:v>1447</x:v>
      </x:c>
      <x:c r="N147" t="n">
        <x:v>345</x:v>
      </x:c>
      <x:c r="O147" t="n">
        <x:f>M147+N147</x:f>
        <x:v>1792</x:v>
      </x:c>
      <x:c r="P147" s="14" t="n">
        <x:f>M147/1000000*VLOOKUP(H147,'Model Rates'!$A$2:$C$5,2,FALSE)+N147/1000000*VLOOKUP(H147,'Model Rates'!$A$2:$C$5,3,FALSE)</x:f>
        <x:v>0.00353375</x:v>
      </x:c>
      <x:c r="Q147" t="str">
        <x:v>v2.0</x:v>
      </x:c>
      <x:c r="R147" t="n">
        <x:v>0</x:v>
      </x:c>
      <x:c r="S147" s="1" t="b">
        <x:v>0</x:v>
      </x:c>
      <x:c r="T147" t="str">
        <x:v>review</x:v>
      </x:c>
      <x:c r="U147" s="16" t="n">
        <x:v>0.062</x:v>
      </x:c>
      <x:c r="V147" s="16" t="n">
        <x:v>0.975</x:v>
      </x:c>
      <x:c r="W147" s="16" t="n">
        <x:v>0.993</x:v>
      </x:c>
      <x:c r="X147" t="str">
        <x:v>none</x:v>
      </x:c>
      <x:c r="Y147" t="str"/>
    </x:row>
    <x:row r="148">
      <x:c r="A148" s="12" t="n">
        <x:v>46243.49068287037</x:v>
      </x:c>
      <x:c r="B148" t="str">
        <x:v>tr_4a62f0969986</x:v>
      </x:c>
      <x:c r="C148" t="str">
        <x:v>sp_a3849a01a7</x:v>
      </x:c>
      <x:c r="D148" t="str">
        <x:v>req_83cbfb790f82</x:v>
      </x:c>
      <x:c r="E148" t="str">
        <x:v>search-assistant</x:v>
      </x:c>
      <x:c r="F148" t="str">
        <x:v>prod</x:v>
      </x:c>
      <x:c r="G148" t="str">
        <x:v>pro</x:v>
      </x:c>
      <x:c r="H148" t="str">
        <x:v>gpt-5</x:v>
      </x:c>
      <x:c r="I148" t="str">
        <x:v>summarization</x:v>
      </x:c>
      <x:c r="J148" t="str">
        <x:v>error</x:v>
      </x:c>
      <x:c r="K148" t="n">
        <x:v>1344</x:v>
      </x:c>
      <x:c r="L148" t="n">
        <x:v>415</x:v>
      </x:c>
      <x:c r="M148" t="n">
        <x:v>691</x:v>
      </x:c>
      <x:c r="N148" t="n">
        <x:v>140</x:v>
      </x:c>
      <x:c r="O148" t="n">
        <x:f>M148+N148</x:f>
        <x:v>831</x:v>
      </x:c>
      <x:c r="P148" s="14" t="n">
        <x:f>M148/1000000*VLOOKUP(H148,'Model Rates'!$A$2:$C$5,2,FALSE)+N148/1000000*VLOOKUP(H148,'Model Rates'!$A$2:$C$5,3,FALSE)</x:f>
        <x:v>0.0022637499999999997</x:v>
      </x:c>
      <x:c r="Q148" t="str">
        <x:v>v2.0</x:v>
      </x:c>
      <x:c r="R148" t="n">
        <x:v>0</x:v>
      </x:c>
      <x:c r="S148" s="1" t="b">
        <x:v>1</x:v>
      </x:c>
      <x:c r="T148" t="str">
        <x:v>pass</x:v>
      </x:c>
      <x:c r="U148" s="16" t="n">
        <x:v>0.199</x:v>
      </x:c>
      <x:c r="V148" s="16" t="n">
        <x:v>0.826</x:v>
      </x:c>
      <x:c r="W148" s="16" t="n">
        <x:v>0.628</x:v>
      </x:c>
      <x:c r="X148" t="str">
        <x:v>none</x:v>
      </x:c>
      <x:c r="Y148" t="str">
        <x:v>tool_error</x:v>
      </x:c>
    </x:row>
    <x:row r="149">
      <x:c r="A149" s="12" t="n">
        <x:v>46243.49747685185</x:v>
      </x:c>
      <x:c r="B149" t="str">
        <x:v>tr_22fad34b1162</x:v>
      </x:c>
      <x:c r="C149" t="str">
        <x:v>sp_fe66af98c8</x:v>
      </x:c>
      <x:c r="D149" t="str">
        <x:v>req_05c2964be6b3</x:v>
      </x:c>
      <x:c r="E149" t="str">
        <x:v>support-copilot</x:v>
      </x:c>
      <x:c r="F149" t="str">
        <x:v>prod</x:v>
      </x:c>
      <x:c r="G149" t="str">
        <x:v>free</x:v>
      </x:c>
      <x:c r="H149" t="str">
        <x:v>gpt-5-mini</x:v>
      </x:c>
      <x:c r="I149" t="str">
        <x:v>summarization</x:v>
      </x:c>
      <x:c r="J149" t="str">
        <x:v>success</x:v>
      </x:c>
      <x:c r="K149" t="n">
        <x:v>1054</x:v>
      </x:c>
      <x:c r="L149" t="n">
        <x:v>232</x:v>
      </x:c>
      <x:c r="M149" t="n">
        <x:v>724</x:v>
      </x:c>
      <x:c r="N149" t="n">
        <x:v>187</x:v>
      </x:c>
      <x:c r="O149" t="n">
        <x:f>M149+N149</x:f>
        <x:v>911</x:v>
      </x:c>
      <x:c r="P149" s="14" t="n">
        <x:f>M149/1000000*VLOOKUP(H149,'Model Rates'!$A$2:$C$5,2,FALSE)+N149/1000000*VLOOKUP(H149,'Model Rates'!$A$2:$C$5,3,FALSE)</x:f>
        <x:v>0.0005888</x:v>
      </x:c>
      <x:c r="Q149" t="str">
        <x:v>v2.0</x:v>
      </x:c>
      <x:c r="R149" t="n">
        <x:v>1</x:v>
      </x:c>
      <x:c r="S149" s="1" t="b">
        <x:v>0</x:v>
      </x:c>
      <x:c r="T149" t="str">
        <x:v>blocked</x:v>
      </x:c>
      <x:c r="U149" s="16" t="n">
        <x:v>0.121</x:v>
      </x:c>
      <x:c r="V149" s="16" t="n">
        <x:v>0.985</x:v>
      </x:c>
      <x:c r="W149" s="16" t="n">
        <x:v>0.929</x:v>
      </x:c>
      <x:c r="X149" t="str">
        <x:v>negative</x:v>
      </x:c>
      <x:c r="Y149" t="str"/>
    </x:row>
    <x:row r="150">
      <x:c r="A150" s="12" t="n">
        <x:v>46243.50443287037</x:v>
      </x:c>
      <x:c r="B150" t="str">
        <x:v>tr_386c20b6a38f</x:v>
      </x:c>
      <x:c r="C150" t="str">
        <x:v>sp_1b3d1b07f0</x:v>
      </x:c>
      <x:c r="D150" t="str">
        <x:v>req_f853452e4c02</x:v>
      </x:c>
      <x:c r="E150" t="str">
        <x:v>doc-summarizer</x:v>
      </x:c>
      <x:c r="F150" t="str">
        <x:v>prod</x:v>
      </x:c>
      <x:c r="G150" t="str">
        <x:v>enterprise</x:v>
      </x:c>
      <x:c r="H150" t="str">
        <x:v>gpt-5-mini</x:v>
      </x:c>
      <x:c r="I150" t="str">
        <x:v>tool_agent</x:v>
      </x:c>
      <x:c r="J150" t="str">
        <x:v>success</x:v>
      </x:c>
      <x:c r="K150" t="n">
        <x:v>1338</x:v>
      </x:c>
      <x:c r="L150" t="n">
        <x:v>198</x:v>
      </x:c>
      <x:c r="M150" t="n">
        <x:v>2646</x:v>
      </x:c>
      <x:c r="N150" t="n">
        <x:v>620</x:v>
      </x:c>
      <x:c r="O150" t="n">
        <x:f>M150+N150</x:f>
        <x:v>3266</x:v>
      </x:c>
      <x:c r="P150" s="14" t="n">
        <x:f>M150/1000000*VLOOKUP(H150,'Model Rates'!$A$2:$C$5,2,FALSE)+N150/1000000*VLOOKUP(H150,'Model Rates'!$A$2:$C$5,3,FALSE)</x:f>
        <x:v>0.0020504</x:v>
      </x:c>
      <x:c r="Q150" t="str">
        <x:v>v1.9</x:v>
      </x:c>
      <x:c r="R150" t="n">
        <x:v>0</x:v>
      </x:c>
      <x:c r="S150" s="1" t="b">
        <x:v>1</x:v>
      </x:c>
      <x:c r="T150" t="str">
        <x:v>pass</x:v>
      </x:c>
      <x:c r="U150" s="16" t="n">
        <x:v>0.093</x:v>
      </x:c>
      <x:c r="V150" s="16" t="n">
        <x:v>0.689</x:v>
      </x:c>
      <x:c r="W150" s="16" t="n">
        <x:v>0.931</x:v>
      </x:c>
      <x:c r="X150" t="str">
        <x:v>positive</x:v>
      </x:c>
      <x:c r="Y150" t="str"/>
    </x:row>
    <x:row r="151">
      <x:c r="A151" s="12" t="n">
        <x:v>46243.5150462963</x:v>
      </x:c>
      <x:c r="B151" t="str">
        <x:v>tr_b6908e687662</x:v>
      </x:c>
      <x:c r="C151" t="str">
        <x:v>sp_033900fbff</x:v>
      </x:c>
      <x:c r="D151" t="str">
        <x:v>req_b10058076ed7</x:v>
      </x:c>
      <x:c r="E151" t="str">
        <x:v>search-assistant</x:v>
      </x:c>
      <x:c r="F151" t="str">
        <x:v>prod</x:v>
      </x:c>
      <x:c r="G151" t="str">
        <x:v>pro</x:v>
      </x:c>
      <x:c r="H151" t="str">
        <x:v>gpt-5-mini</x:v>
      </x:c>
      <x:c r="I151" t="str">
        <x:v>tool_agent</x:v>
      </x:c>
      <x:c r="J151" t="str">
        <x:v>success</x:v>
      </x:c>
      <x:c r="K151" t="n">
        <x:v>1606</x:v>
      </x:c>
      <x:c r="L151" t="n">
        <x:v>277</x:v>
      </x:c>
      <x:c r="M151" t="n">
        <x:v>1710</x:v>
      </x:c>
      <x:c r="N151" t="n">
        <x:v>850</x:v>
      </x:c>
      <x:c r="O151" t="n">
        <x:f>M151+N151</x:f>
        <x:v>2560</x:v>
      </x:c>
      <x:c r="P151" s="14" t="n">
        <x:f>M151/1000000*VLOOKUP(H151,'Model Rates'!$A$2:$C$5,2,FALSE)+N151/1000000*VLOOKUP(H151,'Model Rates'!$A$2:$C$5,3,FALSE)</x:f>
        <x:v>0.0020440000000000002</x:v>
      </x:c>
      <x:c r="Q151" t="str">
        <x:v>v2.0</x:v>
      </x:c>
      <x:c r="R151" t="n">
        <x:v>1</x:v>
      </x:c>
      <x:c r="S151" s="1" t="b">
        <x:v>0</x:v>
      </x:c>
      <x:c r="T151" t="str">
        <x:v>blocked</x:v>
      </x:c>
      <x:c r="U151" s="16" t="n">
        <x:v>0.026</x:v>
      </x:c>
      <x:c r="V151" s="16" t="n">
        <x:v>1</x:v>
      </x:c>
      <x:c r="W151" s="16" t="n">
        <x:v>0.983</x:v>
      </x:c>
      <x:c r="X151" t="str">
        <x:v>none</x:v>
      </x:c>
      <x:c r="Y151" t="str"/>
    </x:row>
    <x:row r="152">
      <x:c r="A152" s="12" t="n">
        <x:v>46243.51509259259</x:v>
      </x:c>
      <x:c r="B152" t="str">
        <x:v>tr_0832c8394f9f</x:v>
      </x:c>
      <x:c r="C152" t="str">
        <x:v>sp_b979870db9</x:v>
      </x:c>
      <x:c r="D152" t="str">
        <x:v>req_c9ec03bebadd</x:v>
      </x:c>
      <x:c r="E152" t="str">
        <x:v>doc-summarizer</x:v>
      </x:c>
      <x:c r="F152" t="str">
        <x:v>prod</x:v>
      </x:c>
      <x:c r="G152" t="str">
        <x:v>free</x:v>
      </x:c>
      <x:c r="H152" t="str">
        <x:v>gpt-5-mini</x:v>
      </x:c>
      <x:c r="I152" t="str">
        <x:v>retrieval_answer</x:v>
      </x:c>
      <x:c r="J152" t="str">
        <x:v>success</x:v>
      </x:c>
      <x:c r="K152" t="n">
        <x:v>1285</x:v>
      </x:c>
      <x:c r="L152" t="n">
        <x:v>354</x:v>
      </x:c>
      <x:c r="M152" t="n">
        <x:v>602</x:v>
      </x:c>
      <x:c r="N152" t="n">
        <x:v>166</x:v>
      </x:c>
      <x:c r="O152" t="n">
        <x:f>M152+N152</x:f>
        <x:v>768</x:v>
      </x:c>
      <x:c r="P152" s="14" t="n">
        <x:f>M152/1000000*VLOOKUP(H152,'Model Rates'!$A$2:$C$5,2,FALSE)+N152/1000000*VLOOKUP(H152,'Model Rates'!$A$2:$C$5,3,FALSE)</x:f>
        <x:v>0.0005064</x:v>
      </x:c>
      <x:c r="Q152" t="str">
        <x:v>v1.9</x:v>
      </x:c>
      <x:c r="R152" t="n">
        <x:v>1</x:v>
      </x:c>
      <x:c r="S152" s="1" t="b">
        <x:v>0</x:v>
      </x:c>
      <x:c r="T152" t="str">
        <x:v>review</x:v>
      </x:c>
      <x:c r="U152" s="16" t="n">
        <x:v>0.102</x:v>
      </x:c>
      <x:c r="V152" s="16" t="n">
        <x:v>0.863</x:v>
      </x:c>
      <x:c r="W152" s="16" t="n">
        <x:v>0.839</x:v>
      </x:c>
      <x:c r="X152" t="str">
        <x:v>none</x:v>
      </x:c>
      <x:c r="Y152" t="str"/>
    </x:row>
    <x:row r="153">
      <x:c r="A153" s="12" t="n">
        <x:v>46243.51708333333</x:v>
      </x:c>
      <x:c r="B153" t="str">
        <x:v>tr_eef5ec196e5e</x:v>
      </x:c>
      <x:c r="C153" t="str">
        <x:v>sp_4b7075dde7</x:v>
      </x:c>
      <x:c r="D153" t="str">
        <x:v>req_e45e4dc30f93</x:v>
      </x:c>
      <x:c r="E153" t="str">
        <x:v>support-copilot</x:v>
      </x:c>
      <x:c r="F153" t="str">
        <x:v>prod</x:v>
      </x:c>
      <x:c r="G153" t="str">
        <x:v>enterprise</x:v>
      </x:c>
      <x:c r="H153" t="str">
        <x:v>gpt-5-mini</x:v>
      </x:c>
      <x:c r="I153" t="str">
        <x:v>summarization</x:v>
      </x:c>
      <x:c r="J153" t="str">
        <x:v>success</x:v>
      </x:c>
      <x:c r="K153" t="n">
        <x:v>1282</x:v>
      </x:c>
      <x:c r="L153" t="n">
        <x:v>240</x:v>
      </x:c>
      <x:c r="M153" t="n">
        <x:v>1059</x:v>
      </x:c>
      <x:c r="N153" t="n">
        <x:v>241</x:v>
      </x:c>
      <x:c r="O153" t="n">
        <x:f>M153+N153</x:f>
        <x:v>1300</x:v>
      </x:c>
      <x:c r="P153" s="14" t="n">
        <x:f>M153/1000000*VLOOKUP(H153,'Model Rates'!$A$2:$C$5,2,FALSE)+N153/1000000*VLOOKUP(H153,'Model Rates'!$A$2:$C$5,3,FALSE)</x:f>
        <x:v>0.0008092000000000002</x:v>
      </x:c>
      <x:c r="Q153" t="str">
        <x:v>v2.0</x:v>
      </x:c>
      <x:c r="R153" t="n">
        <x:v>1</x:v>
      </x:c>
      <x:c r="S153" s="1" t="b">
        <x:v>1</x:v>
      </x:c>
      <x:c r="T153" t="str">
        <x:v>blocked</x:v>
      </x:c>
      <x:c r="U153" s="16" t="n">
        <x:v>0.067</x:v>
      </x:c>
      <x:c r="V153" s="16" t="n">
        <x:v>0.836</x:v>
      </x:c>
      <x:c r="W153" s="16" t="n">
        <x:v>0.949</x:v>
      </x:c>
      <x:c r="X153" t="str">
        <x:v>none</x:v>
      </x:c>
      <x:c r="Y153" t="str"/>
    </x:row>
    <x:row r="154">
      <x:c r="A154" s="12" t="n">
        <x:v>46243.51765046296</x:v>
      </x:c>
      <x:c r="B154" t="str">
        <x:v>tr_b4464ec19f8d</x:v>
      </x:c>
      <x:c r="C154" t="str">
        <x:v>sp_456fd69afc</x:v>
      </x:c>
      <x:c r="D154" t="str">
        <x:v>req_e04e795263d8</x:v>
      </x:c>
      <x:c r="E154" t="str">
        <x:v>agent-workflow</x:v>
      </x:c>
      <x:c r="F154" t="str">
        <x:v>prod</x:v>
      </x:c>
      <x:c r="G154" t="str">
        <x:v>free</x:v>
      </x:c>
      <x:c r="H154" t="str">
        <x:v>gpt-5-mini</x:v>
      </x:c>
      <x:c r="I154" t="str">
        <x:v>summarization</x:v>
      </x:c>
      <x:c r="J154" t="str">
        <x:v>success</x:v>
      </x:c>
      <x:c r="K154" t="n">
        <x:v>1439</x:v>
      </x:c>
      <x:c r="L154" t="n">
        <x:v>374</x:v>
      </x:c>
      <x:c r="M154" t="n">
        <x:v>2032</x:v>
      </x:c>
      <x:c r="N154" t="n">
        <x:v>367</x:v>
      </x:c>
      <x:c r="O154" t="n">
        <x:f>M154+N154</x:f>
        <x:v>2399</x:v>
      </x:c>
      <x:c r="P154" s="14" t="n">
        <x:f>M154/1000000*VLOOKUP(H154,'Model Rates'!$A$2:$C$5,2,FALSE)+N154/1000000*VLOOKUP(H154,'Model Rates'!$A$2:$C$5,3,FALSE)</x:f>
        <x:v>0.0014</x:v>
      </x:c>
      <x:c r="Q154" t="str">
        <x:v>v1.8</x:v>
      </x:c>
      <x:c r="R154" t="n">
        <x:v>1</x:v>
      </x:c>
      <x:c r="S154" s="1" t="b">
        <x:v>0</x:v>
      </x:c>
      <x:c r="T154" t="str">
        <x:v>pass</x:v>
      </x:c>
      <x:c r="U154" s="16" t="n">
        <x:v>0.028</x:v>
      </x:c>
      <x:c r="V154" s="16" t="n">
        <x:v>0.736</x:v>
      </x:c>
      <x:c r="W154" s="16" t="n">
        <x:v>0.905</x:v>
      </x:c>
      <x:c r="X154" t="str">
        <x:v>positive</x:v>
      </x:c>
      <x:c r="Y154" t="str"/>
    </x:row>
    <x:row r="155">
      <x:c r="A155" s="12" t="n">
        <x:v>46243.521678240744</x:v>
      </x:c>
      <x:c r="B155" t="str">
        <x:v>tr_4a819c9e5a49</x:v>
      </x:c>
      <x:c r="C155" t="str">
        <x:v>sp_019c8fcdff</x:v>
      </x:c>
      <x:c r="D155" t="str">
        <x:v>req_248b7fb766a7</x:v>
      </x:c>
      <x:c r="E155" t="str">
        <x:v>support-copilot</x:v>
      </x:c>
      <x:c r="F155" t="str">
        <x:v>prod</x:v>
      </x:c>
      <x:c r="G155" t="str">
        <x:v>pro</x:v>
      </x:c>
      <x:c r="H155" t="str">
        <x:v>gpt-5-mini</x:v>
      </x:c>
      <x:c r="I155" t="str">
        <x:v>retrieval_answer</x:v>
      </x:c>
      <x:c r="J155" t="str">
        <x:v>success</x:v>
      </x:c>
      <x:c r="K155" t="n">
        <x:v>1503</x:v>
      </x:c>
      <x:c r="L155" t="n">
        <x:v>296</x:v>
      </x:c>
      <x:c r="M155" t="n">
        <x:v>372</x:v>
      </x:c>
      <x:c r="N155" t="n">
        <x:v>522</x:v>
      </x:c>
      <x:c r="O155" t="n">
        <x:f>M155+N155</x:f>
        <x:v>894</x:v>
      </x:c>
      <x:c r="P155" s="14" t="n">
        <x:f>M155/1000000*VLOOKUP(H155,'Model Rates'!$A$2:$C$5,2,FALSE)+N155/1000000*VLOOKUP(H155,'Model Rates'!$A$2:$C$5,3,FALSE)</x:f>
        <x:v>0.000984</x:v>
      </x:c>
      <x:c r="Q155" t="str">
        <x:v>v1.9</x:v>
      </x:c>
      <x:c r="R155" t="n">
        <x:v>1</x:v>
      </x:c>
      <x:c r="S155" s="1" t="b">
        <x:v>0</x:v>
      </x:c>
      <x:c r="T155" t="str">
        <x:v>pass</x:v>
      </x:c>
      <x:c r="U155" s="16" t="n">
        <x:v>0.178</x:v>
      </x:c>
      <x:c r="V155" s="16" t="n">
        <x:v>1</x:v>
      </x:c>
      <x:c r="W155" s="16" t="n">
        <x:v>0.953</x:v>
      </x:c>
      <x:c r="X155" t="str">
        <x:v>negative</x:v>
      </x:c>
      <x:c r="Y155" t="str"/>
    </x:row>
    <x:row r="156">
      <x:c r="A156" s="12" t="n">
        <x:v>46243.524675925924</x:v>
      </x:c>
      <x:c r="B156" t="str">
        <x:v>tr_46847d74760d</x:v>
      </x:c>
      <x:c r="C156" t="str">
        <x:v>sp_355fa807d1</x:v>
      </x:c>
      <x:c r="D156" t="str">
        <x:v>req_3e54904940e5</x:v>
      </x:c>
      <x:c r="E156" t="str">
        <x:v>agent-workflow</x:v>
      </x:c>
      <x:c r="F156" t="str">
        <x:v>prod</x:v>
      </x:c>
      <x:c r="G156" t="str">
        <x:v>free</x:v>
      </x:c>
      <x:c r="H156" t="str">
        <x:v>gpt-5-mini</x:v>
      </x:c>
      <x:c r="I156" t="str">
        <x:v>retrieval_answer</x:v>
      </x:c>
      <x:c r="J156" t="str">
        <x:v>success</x:v>
      </x:c>
      <x:c r="K156" t="n">
        <x:v>706</x:v>
      </x:c>
      <x:c r="L156" t="n">
        <x:v>213</x:v>
      </x:c>
      <x:c r="M156" t="n">
        <x:v>1842</x:v>
      </x:c>
      <x:c r="N156" t="n">
        <x:v>466</x:v>
      </x:c>
      <x:c r="O156" t="n">
        <x:f>M156+N156</x:f>
        <x:v>2308</x:v>
      </x:c>
      <x:c r="P156" s="14" t="n">
        <x:f>M156/1000000*VLOOKUP(H156,'Model Rates'!$A$2:$C$5,2,FALSE)+N156/1000000*VLOOKUP(H156,'Model Rates'!$A$2:$C$5,3,FALSE)</x:f>
        <x:v>0.0014824</x:v>
      </x:c>
      <x:c r="Q156" t="str">
        <x:v>v1.8</x:v>
      </x:c>
      <x:c r="R156" t="n">
        <x:v>0</x:v>
      </x:c>
      <x:c r="S156" s="1" t="b">
        <x:v>1</x:v>
      </x:c>
      <x:c r="T156" t="str">
        <x:v>review</x:v>
      </x:c>
      <x:c r="U156" s="16" t="n">
        <x:v>0</x:v>
      </x:c>
      <x:c r="V156" s="16" t="n">
        <x:v>0.88</x:v>
      </x:c>
      <x:c r="W156" s="16" t="n">
        <x:v>0.821</x:v>
      </x:c>
      <x:c r="X156" t="str">
        <x:v>none</x:v>
      </x:c>
      <x:c r="Y156" t="str"/>
    </x:row>
    <x:row r="157">
      <x:c r="A157" s="12" t="n">
        <x:v>46243.52704861111</x:v>
      </x:c>
      <x:c r="B157" t="str">
        <x:v>tr_7bc77f3eadd9</x:v>
      </x:c>
      <x:c r="C157" t="str">
        <x:v>sp_3a91eac888</x:v>
      </x:c>
      <x:c r="D157" t="str">
        <x:v>req_f397a5515cd4</x:v>
      </x:c>
      <x:c r="E157" t="str">
        <x:v>doc-summarizer</x:v>
      </x:c>
      <x:c r="F157" t="str">
        <x:v>prod</x:v>
      </x:c>
      <x:c r="G157" t="str">
        <x:v>enterprise</x:v>
      </x:c>
      <x:c r="H157" t="str">
        <x:v>claude-sonnet</x:v>
      </x:c>
      <x:c r="I157" t="str">
        <x:v>tool_agent</x:v>
      </x:c>
      <x:c r="J157" t="str">
        <x:v>success</x:v>
      </x:c>
      <x:c r="K157" t="n">
        <x:v>1958</x:v>
      </x:c>
      <x:c r="L157" t="n">
        <x:v>386</x:v>
      </x:c>
      <x:c r="M157" t="n">
        <x:v>1665</x:v>
      </x:c>
      <x:c r="N157" t="n">
        <x:v>166</x:v>
      </x:c>
      <x:c r="O157" t="n">
        <x:f>M157+N157</x:f>
        <x:v>1831</x:v>
      </x:c>
      <x:c r="P157" s="14" t="n">
        <x:f>M157/1000000*VLOOKUP(H157,'Model Rates'!$A$2:$C$5,2,FALSE)+N157/1000000*VLOOKUP(H157,'Model Rates'!$A$2:$C$5,3,FALSE)</x:f>
        <x:v>0.007485</x:v>
      </x:c>
      <x:c r="Q157" t="str">
        <x:v>v1.9</x:v>
      </x:c>
      <x:c r="R157" t="n">
        <x:v>0</x:v>
      </x:c>
      <x:c r="S157" s="1" t="b">
        <x:v>0</x:v>
      </x:c>
      <x:c r="T157" t="str">
        <x:v>review</x:v>
      </x:c>
      <x:c r="U157" s="16" t="n">
        <x:v>0.145</x:v>
      </x:c>
      <x:c r="V157" s="16" t="n">
        <x:v>1</x:v>
      </x:c>
      <x:c r="W157" s="16" t="n">
        <x:v>1</x:v>
      </x:c>
      <x:c r="X157" t="str">
        <x:v>none</x:v>
      </x:c>
      <x:c r="Y157" t="str"/>
    </x:row>
    <x:row r="158">
      <x:c r="A158" s="12" t="n">
        <x:v>46243.53523148148</x:v>
      </x:c>
      <x:c r="B158" t="str">
        <x:v>tr_2b3de43ac1b8</x:v>
      </x:c>
      <x:c r="C158" t="str">
        <x:v>sp_240c69d292</x:v>
      </x:c>
      <x:c r="D158" t="str">
        <x:v>req_6773491f352d</x:v>
      </x:c>
      <x:c r="E158" t="str">
        <x:v>agent-workflow</x:v>
      </x:c>
      <x:c r="F158" t="str">
        <x:v>prod</x:v>
      </x:c>
      <x:c r="G158" t="str">
        <x:v>pro</x:v>
      </x:c>
      <x:c r="H158" t="str">
        <x:v>gpt-5-mini</x:v>
      </x:c>
      <x:c r="I158" t="str">
        <x:v>summarization</x:v>
      </x:c>
      <x:c r="J158" t="str">
        <x:v>error</x:v>
      </x:c>
      <x:c r="K158" t="n">
        <x:v>464</x:v>
      </x:c>
      <x:c r="L158" t="n">
        <x:v>257</x:v>
      </x:c>
      <x:c r="M158" t="n">
        <x:v>351</x:v>
      </x:c>
      <x:c r="N158" t="n">
        <x:v>470</x:v>
      </x:c>
      <x:c r="O158" t="n">
        <x:f>M158+N158</x:f>
        <x:v>821</x:v>
      </x:c>
      <x:c r="P158" s="14" t="n">
        <x:f>M158/1000000*VLOOKUP(H158,'Model Rates'!$A$2:$C$5,2,FALSE)+N158/1000000*VLOOKUP(H158,'Model Rates'!$A$2:$C$5,3,FALSE)</x:f>
        <x:v>0.0008924000000000001</x:v>
      </x:c>
      <x:c r="Q158" t="str">
        <x:v>v2.0</x:v>
      </x:c>
      <x:c r="R158" t="n">
        <x:v>0</x:v>
      </x:c>
      <x:c r="S158" s="1" t="b">
        <x:v>0</x:v>
      </x:c>
      <x:c r="T158" t="str">
        <x:v>pass</x:v>
      </x:c>
      <x:c r="U158" s="16" t="n">
        <x:v>0.226</x:v>
      </x:c>
      <x:c r="V158" s="16" t="n">
        <x:v>0.639</x:v>
      </x:c>
      <x:c r="W158" s="16" t="n">
        <x:v>0.632</x:v>
      </x:c>
      <x:c r="X158" t="str">
        <x:v>positive</x:v>
      </x:c>
      <x:c r="Y158" t="str">
        <x:v>tool_error</x:v>
      </x:c>
    </x:row>
    <x:row r="159">
      <x:c r="A159" s="12" t="n">
        <x:v>46243.54413194444</x:v>
      </x:c>
      <x:c r="B159" t="str">
        <x:v>tr_f59d67b4a449</x:v>
      </x:c>
      <x:c r="C159" t="str">
        <x:v>sp_fc196e4a89</x:v>
      </x:c>
      <x:c r="D159" t="str">
        <x:v>req_145bb3c5f7f1</x:v>
      </x:c>
      <x:c r="E159" t="str">
        <x:v>support-copilot</x:v>
      </x:c>
      <x:c r="F159" t="str">
        <x:v>prod</x:v>
      </x:c>
      <x:c r="G159" t="str">
        <x:v>pro</x:v>
      </x:c>
      <x:c r="H159" t="str">
        <x:v>claude-sonnet</x:v>
      </x:c>
      <x:c r="I159" t="str">
        <x:v>tool_agent</x:v>
      </x:c>
      <x:c r="J159" t="str">
        <x:v>success</x:v>
      </x:c>
      <x:c r="K159" t="n">
        <x:v>1525</x:v>
      </x:c>
      <x:c r="L159" t="n">
        <x:v>134</x:v>
      </x:c>
      <x:c r="M159" t="n">
        <x:v>1589</x:v>
      </x:c>
      <x:c r="N159" t="n">
        <x:v>82</x:v>
      </x:c>
      <x:c r="O159" t="n">
        <x:f>M159+N159</x:f>
        <x:v>1671</x:v>
      </x:c>
      <x:c r="P159" s="14" t="n">
        <x:f>M159/1000000*VLOOKUP(H159,'Model Rates'!$A$2:$C$5,2,FALSE)+N159/1000000*VLOOKUP(H159,'Model Rates'!$A$2:$C$5,3,FALSE)</x:f>
        <x:v>0.005997</x:v>
      </x:c>
      <x:c r="Q159" t="str">
        <x:v>v1.9</x:v>
      </x:c>
      <x:c r="R159" t="n">
        <x:v>1</x:v>
      </x:c>
      <x:c r="S159" s="1" t="b">
        <x:v>0</x:v>
      </x:c>
      <x:c r="T159" t="str">
        <x:v>blocked</x:v>
      </x:c>
      <x:c r="U159" s="16" t="n">
        <x:v>0.133</x:v>
      </x:c>
      <x:c r="V159" s="16" t="n">
        <x:v>0.856</x:v>
      </x:c>
      <x:c r="W159" s="16" t="n">
        <x:v>0.989</x:v>
      </x:c>
      <x:c r="X159" t="str">
        <x:v>none</x:v>
      </x:c>
      <x:c r="Y159" t="str"/>
    </x:row>
    <x:row r="160">
      <x:c r="A160" s="12" t="n">
        <x:v>46243.544282407405</x:v>
      </x:c>
      <x:c r="B160" t="str">
        <x:v>tr_1c964c60af10</x:v>
      </x:c>
      <x:c r="C160" t="str">
        <x:v>sp_018a136f94</x:v>
      </x:c>
      <x:c r="D160" t="str">
        <x:v>req_cc25d26c67e6</x:v>
      </x:c>
      <x:c r="E160" t="str">
        <x:v>support-copilot</x:v>
      </x:c>
      <x:c r="F160" t="str">
        <x:v>prod</x:v>
      </x:c>
      <x:c r="G160" t="str">
        <x:v>free</x:v>
      </x:c>
      <x:c r="H160" t="str">
        <x:v>gemini-pro</x:v>
      </x:c>
      <x:c r="I160" t="str">
        <x:v>tool_agent</x:v>
      </x:c>
      <x:c r="J160" t="str">
        <x:v>success</x:v>
      </x:c>
      <x:c r="K160" t="n">
        <x:v>1027</x:v>
      </x:c>
      <x:c r="L160" t="n">
        <x:v>307</x:v>
      </x:c>
      <x:c r="M160" t="n">
        <x:v>974</x:v>
      </x:c>
      <x:c r="N160" t="n">
        <x:v>257</x:v>
      </x:c>
      <x:c r="O160" t="n">
        <x:f>M160+N160</x:f>
        <x:v>1231</x:v>
      </x:c>
      <x:c r="P160" s="14" t="n">
        <x:f>M160/1000000*VLOOKUP(H160,'Model Rates'!$A$2:$C$5,2,FALSE)+N160/1000000*VLOOKUP(H160,'Model Rates'!$A$2:$C$5,3,FALSE)</x:f>
        <x:v>0.0025025000000000004</x:v>
      </x:c>
      <x:c r="Q160" t="str">
        <x:v>v1.9</x:v>
      </x:c>
      <x:c r="R160" t="n">
        <x:v>0</x:v>
      </x:c>
      <x:c r="S160" s="1" t="b">
        <x:v>1</x:v>
      </x:c>
      <x:c r="T160" t="str">
        <x:v>pass</x:v>
      </x:c>
      <x:c r="U160" s="16" t="n">
        <x:v>0.164</x:v>
      </x:c>
      <x:c r="V160" s="16" t="n">
        <x:v>0.963</x:v>
      </x:c>
      <x:c r="W160" s="16" t="n">
        <x:v>0.785</x:v>
      </x:c>
      <x:c r="X160" t="str">
        <x:v>none</x:v>
      </x:c>
      <x:c r="Y160" t="str"/>
    </x:row>
    <x:row r="161">
      <x:c r="A161" s="12" t="n">
        <x:v>46243.54645833333</x:v>
      </x:c>
      <x:c r="B161" t="str">
        <x:v>tr_9d7c96f4bd7d</x:v>
      </x:c>
      <x:c r="C161" t="str">
        <x:v>sp_1dfffd8810</x:v>
      </x:c>
      <x:c r="D161" t="str">
        <x:v>req_c9bf1d422753</x:v>
      </x:c>
      <x:c r="E161" t="str">
        <x:v>support-copilot</x:v>
      </x:c>
      <x:c r="F161" t="str">
        <x:v>prod</x:v>
      </x:c>
      <x:c r="G161" t="str">
        <x:v>enterprise</x:v>
      </x:c>
      <x:c r="H161" t="str">
        <x:v>claude-sonnet</x:v>
      </x:c>
      <x:c r="I161" t="str">
        <x:v>retrieval_answer</x:v>
      </x:c>
      <x:c r="J161" t="str">
        <x:v>error</x:v>
      </x:c>
      <x:c r="K161" t="n">
        <x:v>867</x:v>
      </x:c>
      <x:c r="L161" t="n">
        <x:v>234</x:v>
      </x:c>
      <x:c r="M161" t="n">
        <x:v>575</x:v>
      </x:c>
      <x:c r="N161" t="n">
        <x:v>70</x:v>
      </x:c>
      <x:c r="O161" t="n">
        <x:f>M161+N161</x:f>
        <x:v>645</x:v>
      </x:c>
      <x:c r="P161" s="14" t="n">
        <x:f>M161/1000000*VLOOKUP(H161,'Model Rates'!$A$2:$C$5,2,FALSE)+N161/1000000*VLOOKUP(H161,'Model Rates'!$A$2:$C$5,3,FALSE)</x:f>
        <x:v>0.0027749999999999997</x:v>
      </x:c>
      <x:c r="Q161" t="str">
        <x:v>v2.0</x:v>
      </x:c>
      <x:c r="R161" t="n">
        <x:v>0</x:v>
      </x:c>
      <x:c r="S161" s="1" t="b">
        <x:v>1</x:v>
      </x:c>
      <x:c r="T161" t="str">
        <x:v>pass</x:v>
      </x:c>
      <x:c r="U161" s="16" t="n">
        <x:v>0.192</x:v>
      </x:c>
      <x:c r="V161" s="16" t="n">
        <x:v>0.66</x:v>
      </x:c>
      <x:c r="W161" s="16" t="n">
        <x:v>0.683</x:v>
      </x:c>
      <x:c r="X161" t="str">
        <x:v>none</x:v>
      </x:c>
      <x:c r="Y161" t="str">
        <x:v>rate_limit</x:v>
      </x:c>
    </x:row>
    <x:row r="162">
      <x:c r="A162" s="12" t="n">
        <x:v>46243.5465625</x:v>
      </x:c>
      <x:c r="B162" t="str">
        <x:v>tr_747a55aae10f</x:v>
      </x:c>
      <x:c r="C162" t="str">
        <x:v>sp_8a5f433c4d</x:v>
      </x:c>
      <x:c r="D162" t="str">
        <x:v>req_532aa2e3a7dd</x:v>
      </x:c>
      <x:c r="E162" t="str">
        <x:v>search-assistant</x:v>
      </x:c>
      <x:c r="F162" t="str">
        <x:v>prod</x:v>
      </x:c>
      <x:c r="G162" t="str">
        <x:v>enterprise</x:v>
      </x:c>
      <x:c r="H162" t="str">
        <x:v>claude-sonnet</x:v>
      </x:c>
      <x:c r="I162" t="str">
        <x:v>tool_agent</x:v>
      </x:c>
      <x:c r="J162" t="str">
        <x:v>success</x:v>
      </x:c>
      <x:c r="K162" t="n">
        <x:v>1057</x:v>
      </x:c>
      <x:c r="L162" t="n">
        <x:v>265</x:v>
      </x:c>
      <x:c r="M162" t="n">
        <x:v>878</x:v>
      </x:c>
      <x:c r="N162" t="n">
        <x:v>327</x:v>
      </x:c>
      <x:c r="O162" t="n">
        <x:f>M162+N162</x:f>
        <x:v>1205</x:v>
      </x:c>
      <x:c r="P162" s="14" t="n">
        <x:f>M162/1000000*VLOOKUP(H162,'Model Rates'!$A$2:$C$5,2,FALSE)+N162/1000000*VLOOKUP(H162,'Model Rates'!$A$2:$C$5,3,FALSE)</x:f>
        <x:v>0.007539</x:v>
      </x:c>
      <x:c r="Q162" t="str">
        <x:v>v1.8</x:v>
      </x:c>
      <x:c r="R162" t="n">
        <x:v>0</x:v>
      </x:c>
      <x:c r="S162" s="1" t="b">
        <x:v>0</x:v>
      </x:c>
      <x:c r="T162" t="str">
        <x:v>review</x:v>
      </x:c>
      <x:c r="U162" s="16" t="n">
        <x:v>0.139</x:v>
      </x:c>
      <x:c r="V162" s="16" t="n">
        <x:v>0.842</x:v>
      </x:c>
      <x:c r="W162" s="16" t="n">
        <x:v>0.679</x:v>
      </x:c>
      <x:c r="X162" t="str">
        <x:v>negative</x:v>
      </x:c>
      <x:c r="Y162" t="str"/>
    </x:row>
    <x:row r="163">
      <x:c r="A163" s="12" t="n">
        <x:v>46243.54733796296</x:v>
      </x:c>
      <x:c r="B163" t="str">
        <x:v>tr_ba2ef31054c6</x:v>
      </x:c>
      <x:c r="C163" t="str">
        <x:v>sp_9413746972</x:v>
      </x:c>
      <x:c r="D163" t="str">
        <x:v>req_9e6400a984f9</x:v>
      </x:c>
      <x:c r="E163" t="str">
        <x:v>agent-workflow</x:v>
      </x:c>
      <x:c r="F163" t="str">
        <x:v>staging</x:v>
      </x:c>
      <x:c r="G163" t="str">
        <x:v>enterprise</x:v>
      </x:c>
      <x:c r="H163" t="str">
        <x:v>gpt-5-mini</x:v>
      </x:c>
      <x:c r="I163" t="str">
        <x:v>chat_completion</x:v>
      </x:c>
      <x:c r="J163" t="str">
        <x:v>success</x:v>
      </x:c>
      <x:c r="K163" t="n">
        <x:v>2497</x:v>
      </x:c>
      <x:c r="L163" t="n">
        <x:v>390</x:v>
      </x:c>
      <x:c r="M163" t="n">
        <x:v>490</x:v>
      </x:c>
      <x:c r="N163" t="n">
        <x:v>131</x:v>
      </x:c>
      <x:c r="O163" t="n">
        <x:f>M163+N163</x:f>
        <x:v>621</x:v>
      </x:c>
      <x:c r="P163" s="14" t="n">
        <x:f>M163/1000000*VLOOKUP(H163,'Model Rates'!$A$2:$C$5,2,FALSE)+N163/1000000*VLOOKUP(H163,'Model Rates'!$A$2:$C$5,3,FALSE)</x:f>
        <x:v>0.0004056</x:v>
      </x:c>
      <x:c r="Q163" t="str">
        <x:v>v2.0</x:v>
      </x:c>
      <x:c r="R163" t="n">
        <x:v>2</x:v>
      </x:c>
      <x:c r="S163" s="1" t="b">
        <x:v>0</x:v>
      </x:c>
      <x:c r="T163" t="str">
        <x:v>pass</x:v>
      </x:c>
      <x:c r="U163" s="16" t="n">
        <x:v>0.137</x:v>
      </x:c>
      <x:c r="V163" s="16" t="n">
        <x:v>0.946</x:v>
      </x:c>
      <x:c r="W163" s="16" t="n">
        <x:v>0.757</x:v>
      </x:c>
      <x:c r="X163" t="str">
        <x:v>positive</x:v>
      </x:c>
      <x:c r="Y163" t="str"/>
    </x:row>
    <x:row r="164">
      <x:c r="A164" s="12" t="n">
        <x:v>46243.55741898148</x:v>
      </x:c>
      <x:c r="B164" t="str">
        <x:v>tr_dea92a990c85</x:v>
      </x:c>
      <x:c r="C164" t="str">
        <x:v>sp_14fc2c1f8d</x:v>
      </x:c>
      <x:c r="D164" t="str">
        <x:v>req_21595b4216a4</x:v>
      </x:c>
      <x:c r="E164" t="str">
        <x:v>agent-workflow</x:v>
      </x:c>
      <x:c r="F164" t="str">
        <x:v>prod</x:v>
      </x:c>
      <x:c r="G164" t="str">
        <x:v>free</x:v>
      </x:c>
      <x:c r="H164" t="str">
        <x:v>gpt-5-mini</x:v>
      </x:c>
      <x:c r="I164" t="str">
        <x:v>chat_completion</x:v>
      </x:c>
      <x:c r="J164" t="str">
        <x:v>success</x:v>
      </x:c>
      <x:c r="K164" t="n">
        <x:v>1179</x:v>
      </x:c>
      <x:c r="L164" t="n">
        <x:v>280</x:v>
      </x:c>
      <x:c r="M164" t="n">
        <x:v>470</x:v>
      </x:c>
      <x:c r="N164" t="n">
        <x:v>159</x:v>
      </x:c>
      <x:c r="O164" t="n">
        <x:f>M164+N164</x:f>
        <x:v>629</x:v>
      </x:c>
      <x:c r="P164" s="14" t="n">
        <x:f>M164/1000000*VLOOKUP(H164,'Model Rates'!$A$2:$C$5,2,FALSE)+N164/1000000*VLOOKUP(H164,'Model Rates'!$A$2:$C$5,3,FALSE)</x:f>
        <x:v>0.0004424</x:v>
      </x:c>
      <x:c r="Q164" t="str">
        <x:v>v2.0</x:v>
      </x:c>
      <x:c r="R164" t="n">
        <x:v>0</x:v>
      </x:c>
      <x:c r="S164" s="1" t="b">
        <x:v>1</x:v>
      </x:c>
      <x:c r="T164" t="str">
        <x:v>pass</x:v>
      </x:c>
      <x:c r="U164" s="16" t="n">
        <x:v>0.024</x:v>
      </x:c>
      <x:c r="V164" s="16" t="n">
        <x:v>0.824</x:v>
      </x:c>
      <x:c r="W164" s="16" t="n">
        <x:v>0.846</x:v>
      </x:c>
      <x:c r="X164" t="str">
        <x:v>none</x:v>
      </x:c>
      <x:c r="Y164" t="str"/>
    </x:row>
    <x:row r="165">
      <x:c r="A165" s="12" t="n">
        <x:v>46243.557592592595</x:v>
      </x:c>
      <x:c r="B165" t="str">
        <x:v>tr_c89412d3259e</x:v>
      </x:c>
      <x:c r="C165" t="str">
        <x:v>sp_5d59d23c8c</x:v>
      </x:c>
      <x:c r="D165" t="str">
        <x:v>req_89bf16a02e46</x:v>
      </x:c>
      <x:c r="E165" t="str">
        <x:v>doc-summarizer</x:v>
      </x:c>
      <x:c r="F165" t="str">
        <x:v>prod</x:v>
      </x:c>
      <x:c r="G165" t="str">
        <x:v>enterprise</x:v>
      </x:c>
      <x:c r="H165" t="str">
        <x:v>gpt-5-mini</x:v>
      </x:c>
      <x:c r="I165" t="str">
        <x:v>chat_completion</x:v>
      </x:c>
      <x:c r="J165" t="str">
        <x:v>success</x:v>
      </x:c>
      <x:c r="K165" t="n">
        <x:v>1167</x:v>
      </x:c>
      <x:c r="L165" t="n">
        <x:v>204</x:v>
      </x:c>
      <x:c r="M165" t="n">
        <x:v>1249</x:v>
      </x:c>
      <x:c r="N165" t="n">
        <x:v>313</x:v>
      </x:c>
      <x:c r="O165" t="n">
        <x:f>M165+N165</x:f>
        <x:v>1562</x:v>
      </x:c>
      <x:c r="P165" s="14" t="n">
        <x:f>M165/1000000*VLOOKUP(H165,'Model Rates'!$A$2:$C$5,2,FALSE)+N165/1000000*VLOOKUP(H165,'Model Rates'!$A$2:$C$5,3,FALSE)</x:f>
        <x:v>0.0010004</x:v>
      </x:c>
      <x:c r="Q165" t="str">
        <x:v>v2.0</x:v>
      </x:c>
      <x:c r="R165" t="n">
        <x:v>0</x:v>
      </x:c>
      <x:c r="S165" s="1" t="b">
        <x:v>0</x:v>
      </x:c>
      <x:c r="T165" t="str">
        <x:v>pass</x:v>
      </x:c>
      <x:c r="U165" s="16" t="n">
        <x:v>0.142</x:v>
      </x:c>
      <x:c r="V165" s="16" t="n">
        <x:v>0.817</x:v>
      </x:c>
      <x:c r="W165" s="16" t="n">
        <x:v>0.815</x:v>
      </x:c>
      <x:c r="X165" t="str">
        <x:v>positive</x:v>
      </x:c>
      <x:c r="Y165" t="str"/>
    </x:row>
    <x:row r="166">
      <x:c r="A166" s="12" t="n">
        <x:v>46243.557604166665</x:v>
      </x:c>
      <x:c r="B166" t="str">
        <x:v>tr_941be644be4b</x:v>
      </x:c>
      <x:c r="C166" t="str">
        <x:v>sp_3a410a3132</x:v>
      </x:c>
      <x:c r="D166" t="str">
        <x:v>req_d6695af53494</x:v>
      </x:c>
      <x:c r="E166" t="str">
        <x:v>search-assistant</x:v>
      </x:c>
      <x:c r="F166" t="str">
        <x:v>prod</x:v>
      </x:c>
      <x:c r="G166" t="str">
        <x:v>enterprise</x:v>
      </x:c>
      <x:c r="H166" t="str">
        <x:v>gemini-pro</x:v>
      </x:c>
      <x:c r="I166" t="str">
        <x:v>tool_agent</x:v>
      </x:c>
      <x:c r="J166" t="str">
        <x:v>success</x:v>
      </x:c>
      <x:c r="K166" t="n">
        <x:v>1611</x:v>
      </x:c>
      <x:c r="L166" t="n">
        <x:v>353</x:v>
      </x:c>
      <x:c r="M166" t="n">
        <x:v>1413</x:v>
      </x:c>
      <x:c r="N166" t="n">
        <x:v>102</x:v>
      </x:c>
      <x:c r="O166" t="n">
        <x:f>M166+N166</x:f>
        <x:v>1515</x:v>
      </x:c>
      <x:c r="P166" s="14" t="n">
        <x:f>M166/1000000*VLOOKUP(H166,'Model Rates'!$A$2:$C$5,2,FALSE)+N166/1000000*VLOOKUP(H166,'Model Rates'!$A$2:$C$5,3,FALSE)</x:f>
        <x:v>0.00227625</x:v>
      </x:c>
      <x:c r="Q166" t="str">
        <x:v>v1.8</x:v>
      </x:c>
      <x:c r="R166" t="n">
        <x:v>1</x:v>
      </x:c>
      <x:c r="S166" s="1" t="b">
        <x:v>1</x:v>
      </x:c>
      <x:c r="T166" t="str">
        <x:v>pass</x:v>
      </x:c>
      <x:c r="U166" s="16" t="n">
        <x:v>0.11</x:v>
      </x:c>
      <x:c r="V166" s="16" t="n">
        <x:v>0.827</x:v>
      </x:c>
      <x:c r="W166" s="16" t="n">
        <x:v>0.781</x:v>
      </x:c>
      <x:c r="X166" t="str">
        <x:v>positive</x:v>
      </x:c>
      <x:c r="Y166" t="str"/>
    </x:row>
    <x:row r="167">
      <x:c r="A167" s="12" t="n">
        <x:v>46243.56385416666</x:v>
      </x:c>
      <x:c r="B167" t="str">
        <x:v>tr_28646592aadb</x:v>
      </x:c>
      <x:c r="C167" t="str">
        <x:v>sp_2430d0a829</x:v>
      </x:c>
      <x:c r="D167" t="str">
        <x:v>req_fe56eec1e0d9</x:v>
      </x:c>
      <x:c r="E167" t="str">
        <x:v>doc-summarizer</x:v>
      </x:c>
      <x:c r="F167" t="str">
        <x:v>prod</x:v>
      </x:c>
      <x:c r="G167" t="str">
        <x:v>free</x:v>
      </x:c>
      <x:c r="H167" t="str">
        <x:v>gpt-5-mini</x:v>
      </x:c>
      <x:c r="I167" t="str">
        <x:v>chat_completion</x:v>
      </x:c>
      <x:c r="J167" t="str">
        <x:v>error</x:v>
      </x:c>
      <x:c r="K167" t="n">
        <x:v>1436</x:v>
      </x:c>
      <x:c r="L167" t="n">
        <x:v>261</x:v>
      </x:c>
      <x:c r="M167" t="n">
        <x:v>2226</x:v>
      </x:c>
      <x:c r="N167" t="n">
        <x:v>542</x:v>
      </x:c>
      <x:c r="O167" t="n">
        <x:f>M167+N167</x:f>
        <x:v>2768</x:v>
      </x:c>
      <x:c r="P167" s="14" t="n">
        <x:f>M167/1000000*VLOOKUP(H167,'Model Rates'!$A$2:$C$5,2,FALSE)+N167/1000000*VLOOKUP(H167,'Model Rates'!$A$2:$C$5,3,FALSE)</x:f>
        <x:v>0.0017576</x:v>
      </x:c>
      <x:c r="Q167" t="str">
        <x:v>v2.0</x:v>
      </x:c>
      <x:c r="R167" t="n">
        <x:v>2</x:v>
      </x:c>
      <x:c r="S167" s="1" t="b">
        <x:v>0</x:v>
      </x:c>
      <x:c r="T167" t="str">
        <x:v>pass</x:v>
      </x:c>
      <x:c r="U167" s="16" t="n">
        <x:v>0.381</x:v>
      </x:c>
      <x:c r="V167" s="16" t="n">
        <x:v>0.514</x:v>
      </x:c>
      <x:c r="W167" s="16" t="n">
        <x:v>0.871</x:v>
      </x:c>
      <x:c r="X167" t="str">
        <x:v>positive</x:v>
      </x:c>
      <x:c r="Y167" t="str">
        <x:v>timeout</x:v>
      </x:c>
    </x:row>
    <x:row r="168">
      <x:c r="A168" s="12" t="n">
        <x:v>46243.5653125</x:v>
      </x:c>
      <x:c r="B168" t="str">
        <x:v>tr_d118c19663d9</x:v>
      </x:c>
      <x:c r="C168" t="str">
        <x:v>sp_f11e6adc32</x:v>
      </x:c>
      <x:c r="D168" t="str">
        <x:v>req_af986fa4da18</x:v>
      </x:c>
      <x:c r="E168" t="str">
        <x:v>support-copilot</x:v>
      </x:c>
      <x:c r="F168" t="str">
        <x:v>prod</x:v>
      </x:c>
      <x:c r="G168" t="str">
        <x:v>pro</x:v>
      </x:c>
      <x:c r="H168" t="str">
        <x:v>claude-sonnet</x:v>
      </x:c>
      <x:c r="I168" t="str">
        <x:v>summarization</x:v>
      </x:c>
      <x:c r="J168" t="str">
        <x:v>success</x:v>
      </x:c>
      <x:c r="K168" t="n">
        <x:v>1543</x:v>
      </x:c>
      <x:c r="L168" t="n">
        <x:v>341</x:v>
      </x:c>
      <x:c r="M168" t="n">
        <x:v>1211</x:v>
      </x:c>
      <x:c r="N168" t="n">
        <x:v>109</x:v>
      </x:c>
      <x:c r="O168" t="n">
        <x:f>M168+N168</x:f>
        <x:v>1320</x:v>
      </x:c>
      <x:c r="P168" s="14" t="n">
        <x:f>M168/1000000*VLOOKUP(H168,'Model Rates'!$A$2:$C$5,2,FALSE)+N168/1000000*VLOOKUP(H168,'Model Rates'!$A$2:$C$5,3,FALSE)</x:f>
        <x:v>0.005268</x:v>
      </x:c>
      <x:c r="Q168" t="str">
        <x:v>v2.0</x:v>
      </x:c>
      <x:c r="R168" t="n">
        <x:v>0</x:v>
      </x:c>
      <x:c r="S168" s="1" t="b">
        <x:v>0</x:v>
      </x:c>
      <x:c r="T168" t="str">
        <x:v>pass</x:v>
      </x:c>
      <x:c r="U168" s="16" t="n">
        <x:v>0.038</x:v>
      </x:c>
      <x:c r="V168" s="16" t="n">
        <x:v>0.939</x:v>
      </x:c>
      <x:c r="W168" s="16" t="n">
        <x:v>0.817</x:v>
      </x:c>
      <x:c r="X168" t="str">
        <x:v>positive</x:v>
      </x:c>
      <x:c r="Y168" t="str"/>
    </x:row>
    <x:row r="169">
      <x:c r="A169" s="12" t="n">
        <x:v>46243.565717592595</x:v>
      </x:c>
      <x:c r="B169" t="str">
        <x:v>tr_1738a14f3df6</x:v>
      </x:c>
      <x:c r="C169" t="str">
        <x:v>sp_495093ca97</x:v>
      </x:c>
      <x:c r="D169" t="str">
        <x:v>req_1b417a2f3d01</x:v>
      </x:c>
      <x:c r="E169" t="str">
        <x:v>search-assistant</x:v>
      </x:c>
      <x:c r="F169" t="str">
        <x:v>prod</x:v>
      </x:c>
      <x:c r="G169" t="str">
        <x:v>free</x:v>
      </x:c>
      <x:c r="H169" t="str">
        <x:v>gpt-5</x:v>
      </x:c>
      <x:c r="I169" t="str">
        <x:v>chat_completion</x:v>
      </x:c>
      <x:c r="J169" t="str">
        <x:v>success</x:v>
      </x:c>
      <x:c r="K169" t="n">
        <x:v>1020</x:v>
      </x:c>
      <x:c r="L169" t="n">
        <x:v>398</x:v>
      </x:c>
      <x:c r="M169" t="n">
        <x:v>739</x:v>
      </x:c>
      <x:c r="N169" t="n">
        <x:v>140</x:v>
      </x:c>
      <x:c r="O169" t="n">
        <x:f>M169+N169</x:f>
        <x:v>879</x:v>
      </x:c>
      <x:c r="P169" s="14" t="n">
        <x:f>M169/1000000*VLOOKUP(H169,'Model Rates'!$A$2:$C$5,2,FALSE)+N169/1000000*VLOOKUP(H169,'Model Rates'!$A$2:$C$5,3,FALSE)</x:f>
        <x:v>0.00232375</x:v>
      </x:c>
      <x:c r="Q169" t="str">
        <x:v>v2.0</x:v>
      </x:c>
      <x:c r="R169" t="n">
        <x:v>0</x:v>
      </x:c>
      <x:c r="S169" s="1" t="b">
        <x:v>1</x:v>
      </x:c>
      <x:c r="T169" t="str">
        <x:v>blocked</x:v>
      </x:c>
      <x:c r="U169" s="16" t="n">
        <x:v>0.223</x:v>
      </x:c>
      <x:c r="V169" s="16" t="n">
        <x:v>0.655</x:v>
      </x:c>
      <x:c r="W169" s="16" t="n">
        <x:v>0.794</x:v>
      </x:c>
      <x:c r="X169" t="str">
        <x:v>none</x:v>
      </x:c>
      <x:c r="Y169" t="str"/>
    </x:row>
    <x:row r="170">
      <x:c r="A170" s="12" t="n">
        <x:v>46243.566145833334</x:v>
      </x:c>
      <x:c r="B170" t="str">
        <x:v>tr_a6ac57417218</x:v>
      </x:c>
      <x:c r="C170" t="str">
        <x:v>sp_ea783fd54b</x:v>
      </x:c>
      <x:c r="D170" t="str">
        <x:v>req_ef211cbbc03e</x:v>
      </x:c>
      <x:c r="E170" t="str">
        <x:v>doc-summarizer</x:v>
      </x:c>
      <x:c r="F170" t="str">
        <x:v>prod</x:v>
      </x:c>
      <x:c r="G170" t="str">
        <x:v>free</x:v>
      </x:c>
      <x:c r="H170" t="str">
        <x:v>claude-sonnet</x:v>
      </x:c>
      <x:c r="I170" t="str">
        <x:v>tool_agent</x:v>
      </x:c>
      <x:c r="J170" t="str">
        <x:v>success</x:v>
      </x:c>
      <x:c r="K170" t="n">
        <x:v>1265</x:v>
      </x:c>
      <x:c r="L170" t="n">
        <x:v>236</x:v>
      </x:c>
      <x:c r="M170" t="n">
        <x:v>478</x:v>
      </x:c>
      <x:c r="N170" t="n">
        <x:v>260</x:v>
      </x:c>
      <x:c r="O170" t="n">
        <x:f>M170+N170</x:f>
        <x:v>738</x:v>
      </x:c>
      <x:c r="P170" s="14" t="n">
        <x:f>M170/1000000*VLOOKUP(H170,'Model Rates'!$A$2:$C$5,2,FALSE)+N170/1000000*VLOOKUP(H170,'Model Rates'!$A$2:$C$5,3,FALSE)</x:f>
        <x:v>0.005334</x:v>
      </x:c>
      <x:c r="Q170" t="str">
        <x:v>v1.9</x:v>
      </x:c>
      <x:c r="R170" t="n">
        <x:v>0</x:v>
      </x:c>
      <x:c r="S170" s="1" t="b">
        <x:v>0</x:v>
      </x:c>
      <x:c r="T170" t="str">
        <x:v>review</x:v>
      </x:c>
      <x:c r="U170" s="16" t="n">
        <x:v>0.205</x:v>
      </x:c>
      <x:c r="V170" s="16" t="n">
        <x:v>0.916</x:v>
      </x:c>
      <x:c r="W170" s="16" t="n">
        <x:v>1</x:v>
      </x:c>
      <x:c r="X170" t="str">
        <x:v>positive</x:v>
      </x:c>
      <x:c r="Y170" t="str"/>
    </x:row>
    <x:row r="171">
      <x:c r="A171" s="12" t="n">
        <x:v>46243.568819444445</x:v>
      </x:c>
      <x:c r="B171" t="str">
        <x:v>tr_68beb32a2346</x:v>
      </x:c>
      <x:c r="C171" t="str">
        <x:v>sp_9716273b2c</x:v>
      </x:c>
      <x:c r="D171" t="str">
        <x:v>req_d3ed3998fa38</x:v>
      </x:c>
      <x:c r="E171" t="str">
        <x:v>agent-workflow</x:v>
      </x:c>
      <x:c r="F171" t="str">
        <x:v>prod</x:v>
      </x:c>
      <x:c r="G171" t="str">
        <x:v>free</x:v>
      </x:c>
      <x:c r="H171" t="str">
        <x:v>gpt-5</x:v>
      </x:c>
      <x:c r="I171" t="str">
        <x:v>tool_agent</x:v>
      </x:c>
      <x:c r="J171" t="str">
        <x:v>success</x:v>
      </x:c>
      <x:c r="K171" t="n">
        <x:v>2023</x:v>
      </x:c>
      <x:c r="L171" t="n">
        <x:v>356</x:v>
      </x:c>
      <x:c r="M171" t="n">
        <x:v>735</x:v>
      </x:c>
      <x:c r="N171" t="n">
        <x:v>451</x:v>
      </x:c>
      <x:c r="O171" t="n">
        <x:f>M171+N171</x:f>
        <x:v>1186</x:v>
      </x:c>
      <x:c r="P171" s="14" t="n">
        <x:f>M171/1000000*VLOOKUP(H171,'Model Rates'!$A$2:$C$5,2,FALSE)+N171/1000000*VLOOKUP(H171,'Model Rates'!$A$2:$C$5,3,FALSE)</x:f>
        <x:v>0.00542875</x:v>
      </x:c>
      <x:c r="Q171" t="str">
        <x:v>v1.8</x:v>
      </x:c>
      <x:c r="R171" t="n">
        <x:v>1</x:v>
      </x:c>
      <x:c r="S171" s="1" t="b">
        <x:v>1</x:v>
      </x:c>
      <x:c r="T171" t="str">
        <x:v>pass</x:v>
      </x:c>
      <x:c r="U171" s="16" t="n">
        <x:v>0.163</x:v>
      </x:c>
      <x:c r="V171" s="16" t="n">
        <x:v>0.947</x:v>
      </x:c>
      <x:c r="W171" s="16" t="n">
        <x:v>1</x:v>
      </x:c>
      <x:c r="X171" t="str">
        <x:v>none</x:v>
      </x:c>
      <x:c r="Y171" t="str"/>
    </x:row>
    <x:row r="172">
      <x:c r="A172" s="12" t="n">
        <x:v>46243.569247685184</x:v>
      </x:c>
      <x:c r="B172" t="str">
        <x:v>tr_779e5a0c76eb</x:v>
      </x:c>
      <x:c r="C172" t="str">
        <x:v>sp_f46b6dffff</x:v>
      </x:c>
      <x:c r="D172" t="str">
        <x:v>req_2dedd685f30a</x:v>
      </x:c>
      <x:c r="E172" t="str">
        <x:v>search-assistant</x:v>
      </x:c>
      <x:c r="F172" t="str">
        <x:v>prod</x:v>
      </x:c>
      <x:c r="G172" t="str">
        <x:v>free</x:v>
      </x:c>
      <x:c r="H172" t="str">
        <x:v>gpt-5</x:v>
      </x:c>
      <x:c r="I172" t="str">
        <x:v>chat_completion</x:v>
      </x:c>
      <x:c r="J172" t="str">
        <x:v>success</x:v>
      </x:c>
      <x:c r="K172" t="n">
        <x:v>584</x:v>
      </x:c>
      <x:c r="L172" t="n">
        <x:v>524</x:v>
      </x:c>
      <x:c r="M172" t="n">
        <x:v>1224</x:v>
      </x:c>
      <x:c r="N172" t="n">
        <x:v>122</x:v>
      </x:c>
      <x:c r="O172" t="n">
        <x:f>M172+N172</x:f>
        <x:v>1346</x:v>
      </x:c>
      <x:c r="P172" s="14" t="n">
        <x:f>M172/1000000*VLOOKUP(H172,'Model Rates'!$A$2:$C$5,2,FALSE)+N172/1000000*VLOOKUP(H172,'Model Rates'!$A$2:$C$5,3,FALSE)</x:f>
        <x:v>0.00275</x:v>
      </x:c>
      <x:c r="Q172" t="str">
        <x:v>v2.0</x:v>
      </x:c>
      <x:c r="R172" t="n">
        <x:v>0</x:v>
      </x:c>
      <x:c r="S172" s="1" t="b">
        <x:v>0</x:v>
      </x:c>
      <x:c r="T172" t="str">
        <x:v>pass</x:v>
      </x:c>
      <x:c r="U172" s="16" t="n">
        <x:v>0.126</x:v>
      </x:c>
      <x:c r="V172" s="16" t="n">
        <x:v>0.94</x:v>
      </x:c>
      <x:c r="W172" s="16" t="n">
        <x:v>0.955</x:v>
      </x:c>
      <x:c r="X172" t="str">
        <x:v>positive</x:v>
      </x:c>
      <x:c r="Y172" t="str"/>
    </x:row>
    <x:row r="173">
      <x:c r="A173" s="12" t="n">
        <x:v>46243.57486111111</x:v>
      </x:c>
      <x:c r="B173" t="str">
        <x:v>tr_4cd4bbfb9de7</x:v>
      </x:c>
      <x:c r="C173" t="str">
        <x:v>sp_b835b21b14</x:v>
      </x:c>
      <x:c r="D173" t="str">
        <x:v>req_9af3e775ef19</x:v>
      </x:c>
      <x:c r="E173" t="str">
        <x:v>agent-workflow</x:v>
      </x:c>
      <x:c r="F173" t="str">
        <x:v>prod</x:v>
      </x:c>
      <x:c r="G173" t="str">
        <x:v>free</x:v>
      </x:c>
      <x:c r="H173" t="str">
        <x:v>claude-sonnet</x:v>
      </x:c>
      <x:c r="I173" t="str">
        <x:v>retrieval_answer</x:v>
      </x:c>
      <x:c r="J173" t="str">
        <x:v>success</x:v>
      </x:c>
      <x:c r="K173" t="n">
        <x:v>1301</x:v>
      </x:c>
      <x:c r="L173" t="n">
        <x:v>326</x:v>
      </x:c>
      <x:c r="M173" t="n">
        <x:v>262</x:v>
      </x:c>
      <x:c r="N173" t="n">
        <x:v>165</x:v>
      </x:c>
      <x:c r="O173" t="n">
        <x:f>M173+N173</x:f>
        <x:v>427</x:v>
      </x:c>
      <x:c r="P173" s="14" t="n">
        <x:f>M173/1000000*VLOOKUP(H173,'Model Rates'!$A$2:$C$5,2,FALSE)+N173/1000000*VLOOKUP(H173,'Model Rates'!$A$2:$C$5,3,FALSE)</x:f>
        <x:v>0.003261</x:v>
      </x:c>
      <x:c r="Q173" t="str">
        <x:v>v2.0</x:v>
      </x:c>
      <x:c r="R173" t="n">
        <x:v>0</x:v>
      </x:c>
      <x:c r="S173" s="1" t="b">
        <x:v>0</x:v>
      </x:c>
      <x:c r="T173" t="str">
        <x:v>blocked</x:v>
      </x:c>
      <x:c r="U173" s="16" t="n">
        <x:v>0.065</x:v>
      </x:c>
      <x:c r="V173" s="16" t="n">
        <x:v>0.862</x:v>
      </x:c>
      <x:c r="W173" s="16" t="n">
        <x:v>0.851</x:v>
      </x:c>
      <x:c r="X173" t="str">
        <x:v>none</x:v>
      </x:c>
      <x:c r="Y173" t="str"/>
    </x:row>
    <x:row r="174">
      <x:c r="A174" s="12" t="n">
        <x:v>46243.57703703704</x:v>
      </x:c>
      <x:c r="B174" t="str">
        <x:v>tr_9f67381197dc</x:v>
      </x:c>
      <x:c r="C174" t="str">
        <x:v>sp_5b8df92b03</x:v>
      </x:c>
      <x:c r="D174" t="str">
        <x:v>req_687da4184e07</x:v>
      </x:c>
      <x:c r="E174" t="str">
        <x:v>agent-workflow</x:v>
      </x:c>
      <x:c r="F174" t="str">
        <x:v>prod</x:v>
      </x:c>
      <x:c r="G174" t="str">
        <x:v>pro</x:v>
      </x:c>
      <x:c r="H174" t="str">
        <x:v>gpt-5</x:v>
      </x:c>
      <x:c r="I174" t="str">
        <x:v>retrieval_answer</x:v>
      </x:c>
      <x:c r="J174" t="str">
        <x:v>success</x:v>
      </x:c>
      <x:c r="K174" t="n">
        <x:v>2278</x:v>
      </x:c>
      <x:c r="L174" t="n">
        <x:v>473</x:v>
      </x:c>
      <x:c r="M174" t="n">
        <x:v>530</x:v>
      </x:c>
      <x:c r="N174" t="n">
        <x:v>387</x:v>
      </x:c>
      <x:c r="O174" t="n">
        <x:f>M174+N174</x:f>
        <x:v>917</x:v>
      </x:c>
      <x:c r="P174" s="14" t="n">
        <x:f>M174/1000000*VLOOKUP(H174,'Model Rates'!$A$2:$C$5,2,FALSE)+N174/1000000*VLOOKUP(H174,'Model Rates'!$A$2:$C$5,3,FALSE)</x:f>
        <x:v>0.0045325</x:v>
      </x:c>
      <x:c r="Q174" t="str">
        <x:v>v2.0</x:v>
      </x:c>
      <x:c r="R174" t="n">
        <x:v>2</x:v>
      </x:c>
      <x:c r="S174" s="1" t="b">
        <x:v>1</x:v>
      </x:c>
      <x:c r="T174" t="str">
        <x:v>pass</x:v>
      </x:c>
      <x:c r="U174" s="16" t="n">
        <x:v>0.067</x:v>
      </x:c>
      <x:c r="V174" s="16" t="n">
        <x:v>1</x:v>
      </x:c>
      <x:c r="W174" s="16" t="n">
        <x:v>0.799</x:v>
      </x:c>
      <x:c r="X174" t="str">
        <x:v>negative</x:v>
      </x:c>
      <x:c r="Y174" t="str"/>
    </x:row>
    <x:row r="175">
      <x:c r="A175" s="12" t="n">
        <x:v>46243.579513888886</x:v>
      </x:c>
      <x:c r="B175" t="str">
        <x:v>tr_f1f31a91cb13</x:v>
      </x:c>
      <x:c r="C175" t="str">
        <x:v>sp_83121370b8</x:v>
      </x:c>
      <x:c r="D175" t="str">
        <x:v>req_3d6d5cdcb42f</x:v>
      </x:c>
      <x:c r="E175" t="str">
        <x:v>support-copilot</x:v>
      </x:c>
      <x:c r="F175" t="str">
        <x:v>prod</x:v>
      </x:c>
      <x:c r="G175" t="str">
        <x:v>pro</x:v>
      </x:c>
      <x:c r="H175" t="str">
        <x:v>gpt-5</x:v>
      </x:c>
      <x:c r="I175" t="str">
        <x:v>summarization</x:v>
      </x:c>
      <x:c r="J175" t="str">
        <x:v>success</x:v>
      </x:c>
      <x:c r="K175" t="n">
        <x:v>1646</x:v>
      </x:c>
      <x:c r="L175" t="n">
        <x:v>243</x:v>
      </x:c>
      <x:c r="M175" t="n">
        <x:v>2056</x:v>
      </x:c>
      <x:c r="N175" t="n">
        <x:v>210</x:v>
      </x:c>
      <x:c r="O175" t="n">
        <x:f>M175+N175</x:f>
        <x:v>2266</x:v>
      </x:c>
      <x:c r="P175" s="14" t="n">
        <x:f>M175/1000000*VLOOKUP(H175,'Model Rates'!$A$2:$C$5,2,FALSE)+N175/1000000*VLOOKUP(H175,'Model Rates'!$A$2:$C$5,3,FALSE)</x:f>
        <x:v>0.0046700000000000005</x:v>
      </x:c>
      <x:c r="Q175" t="str">
        <x:v>v2.0</x:v>
      </x:c>
      <x:c r="R175" t="n">
        <x:v>0</x:v>
      </x:c>
      <x:c r="S175" s="1" t="b">
        <x:v>0</x:v>
      </x:c>
      <x:c r="T175" t="str">
        <x:v>blocked</x:v>
      </x:c>
      <x:c r="U175" s="16" t="n">
        <x:v>0</x:v>
      </x:c>
      <x:c r="V175" s="16" t="n">
        <x:v>0.998</x:v>
      </x:c>
      <x:c r="W175" s="16" t="n">
        <x:v>0.771</x:v>
      </x:c>
      <x:c r="X175" t="str">
        <x:v>none</x:v>
      </x:c>
      <x:c r="Y175" t="str"/>
    </x:row>
    <x:row r="176">
      <x:c r="A176" s="12" t="n">
        <x:v>46243.58023148148</x:v>
      </x:c>
      <x:c r="B176" t="str">
        <x:v>tr_e2e14a9d2aa5</x:v>
      </x:c>
      <x:c r="C176" t="str">
        <x:v>sp_7263a36bb4</x:v>
      </x:c>
      <x:c r="D176" t="str">
        <x:v>req_86fd314f2395</x:v>
      </x:c>
      <x:c r="E176" t="str">
        <x:v>agent-workflow</x:v>
      </x:c>
      <x:c r="F176" t="str">
        <x:v>prod</x:v>
      </x:c>
      <x:c r="G176" t="str">
        <x:v>pro</x:v>
      </x:c>
      <x:c r="H176" t="str">
        <x:v>gpt-5</x:v>
      </x:c>
      <x:c r="I176" t="str">
        <x:v>tool_agent</x:v>
      </x:c>
      <x:c r="J176" t="str">
        <x:v>success</x:v>
      </x:c>
      <x:c r="K176" t="n">
        <x:v>1102</x:v>
      </x:c>
      <x:c r="L176" t="n">
        <x:v>426</x:v>
      </x:c>
      <x:c r="M176" t="n">
        <x:v>1146</x:v>
      </x:c>
      <x:c r="N176" t="n">
        <x:v>134</x:v>
      </x:c>
      <x:c r="O176" t="n">
        <x:f>M176+N176</x:f>
        <x:v>1280</x:v>
      </x:c>
      <x:c r="P176" s="14" t="n">
        <x:f>M176/1000000*VLOOKUP(H176,'Model Rates'!$A$2:$C$5,2,FALSE)+N176/1000000*VLOOKUP(H176,'Model Rates'!$A$2:$C$5,3,FALSE)</x:f>
        <x:v>0.0027725000000000002</x:v>
      </x:c>
      <x:c r="Q176" t="str">
        <x:v>v1.9</x:v>
      </x:c>
      <x:c r="R176" t="n">
        <x:v>0</x:v>
      </x:c>
      <x:c r="S176" s="1" t="b">
        <x:v>0</x:v>
      </x:c>
      <x:c r="T176" t="str">
        <x:v>pass</x:v>
      </x:c>
      <x:c r="U176" s="16" t="n">
        <x:v>0.106</x:v>
      </x:c>
      <x:c r="V176" s="16" t="n">
        <x:v>0.907</x:v>
      </x:c>
      <x:c r="W176" s="16" t="n">
        <x:v>0.689</x:v>
      </x:c>
      <x:c r="X176" t="str">
        <x:v>negative</x:v>
      </x:c>
      <x:c r="Y176" t="str"/>
    </x:row>
    <x:row r="177">
      <x:c r="A177" s="12" t="n">
        <x:v>46243.5953125</x:v>
      </x:c>
      <x:c r="B177" t="str">
        <x:v>tr_dd2db71d496e</x:v>
      </x:c>
      <x:c r="C177" t="str">
        <x:v>sp_8db8d4ab9b</x:v>
      </x:c>
      <x:c r="D177" t="str">
        <x:v>req_9a49bb41f26f</x:v>
      </x:c>
      <x:c r="E177" t="str">
        <x:v>agent-workflow</x:v>
      </x:c>
      <x:c r="F177" t="str">
        <x:v>prod</x:v>
      </x:c>
      <x:c r="G177" t="str">
        <x:v>enterprise</x:v>
      </x:c>
      <x:c r="H177" t="str">
        <x:v>gpt-5-mini</x:v>
      </x:c>
      <x:c r="I177" t="str">
        <x:v>summarization</x:v>
      </x:c>
      <x:c r="J177" t="str">
        <x:v>error</x:v>
      </x:c>
      <x:c r="K177" t="n">
        <x:v>970</x:v>
      </x:c>
      <x:c r="L177" t="n">
        <x:v>146</x:v>
      </x:c>
      <x:c r="M177" t="n">
        <x:v>290</x:v>
      </x:c>
      <x:c r="N177" t="n">
        <x:v>211</x:v>
      </x:c>
      <x:c r="O177" t="n">
        <x:f>M177+N177</x:f>
        <x:v>501</x:v>
      </x:c>
      <x:c r="P177" s="14" t="n">
        <x:f>M177/1000000*VLOOKUP(H177,'Model Rates'!$A$2:$C$5,2,FALSE)+N177/1000000*VLOOKUP(H177,'Model Rates'!$A$2:$C$5,3,FALSE)</x:f>
        <x:v>0.0004536</x:v>
      </x:c>
      <x:c r="Q177" t="str">
        <x:v>v2.0</x:v>
      </x:c>
      <x:c r="R177" t="n">
        <x:v>0</x:v>
      </x:c>
      <x:c r="S177" s="1" t="b">
        <x:v>0</x:v>
      </x:c>
      <x:c r="T177" t="str">
        <x:v>blocked</x:v>
      </x:c>
      <x:c r="U177" s="16" t="n">
        <x:v>0.281</x:v>
      </x:c>
      <x:c r="V177" s="16" t="n">
        <x:v>0.865</x:v>
      </x:c>
      <x:c r="W177" s="16" t="n">
        <x:v>0.538</x:v>
      </x:c>
      <x:c r="X177" t="str">
        <x:v>none</x:v>
      </x:c>
      <x:c r="Y177" t="str">
        <x:v>tool_error</x:v>
      </x:c>
    </x:row>
    <x:row r="178">
      <x:c r="A178" s="12" t="n">
        <x:v>46243.600277777776</x:v>
      </x:c>
      <x:c r="B178" t="str">
        <x:v>tr_c103b167a624</x:v>
      </x:c>
      <x:c r="C178" t="str">
        <x:v>sp_9fe2c9a5ec</x:v>
      </x:c>
      <x:c r="D178" t="str">
        <x:v>req_305a02e1333b</x:v>
      </x:c>
      <x:c r="E178" t="str">
        <x:v>agent-workflow</x:v>
      </x:c>
      <x:c r="F178" t="str">
        <x:v>prod</x:v>
      </x:c>
      <x:c r="G178" t="str">
        <x:v>free</x:v>
      </x:c>
      <x:c r="H178" t="str">
        <x:v>gpt-5-mini</x:v>
      </x:c>
      <x:c r="I178" t="str">
        <x:v>summarization</x:v>
      </x:c>
      <x:c r="J178" t="str">
        <x:v>success</x:v>
      </x:c>
      <x:c r="K178" t="n">
        <x:v>753</x:v>
      </x:c>
      <x:c r="L178" t="n">
        <x:v>208</x:v>
      </x:c>
      <x:c r="M178" t="n">
        <x:v>600</x:v>
      </x:c>
      <x:c r="N178" t="n">
        <x:v>369</x:v>
      </x:c>
      <x:c r="O178" t="n">
        <x:f>M178+N178</x:f>
        <x:v>969</x:v>
      </x:c>
      <x:c r="P178" s="14" t="n">
        <x:f>M178/1000000*VLOOKUP(H178,'Model Rates'!$A$2:$C$5,2,FALSE)+N178/1000000*VLOOKUP(H178,'Model Rates'!$A$2:$C$5,3,FALSE)</x:f>
        <x:v>0.0008304</x:v>
      </x:c>
      <x:c r="Q178" t="str">
        <x:v>v1.9</x:v>
      </x:c>
      <x:c r="R178" t="n">
        <x:v>0</x:v>
      </x:c>
      <x:c r="S178" s="1" t="b">
        <x:v>0</x:v>
      </x:c>
      <x:c r="T178" t="str">
        <x:v>pass</x:v>
      </x:c>
      <x:c r="U178" s="16" t="n">
        <x:v>0.069</x:v>
      </x:c>
      <x:c r="V178" s="16" t="n">
        <x:v>0.803</x:v>
      </x:c>
      <x:c r="W178" s="16" t="n">
        <x:v>0.95</x:v>
      </x:c>
      <x:c r="X178" t="str">
        <x:v>none</x:v>
      </x:c>
      <x:c r="Y178" t="str"/>
    </x:row>
    <x:row r="179">
      <x:c r="A179" s="12" t="n">
        <x:v>46243.601111111115</x:v>
      </x:c>
      <x:c r="B179" t="str">
        <x:v>tr_6f2879732ad1</x:v>
      </x:c>
      <x:c r="C179" t="str">
        <x:v>sp_069c352249</x:v>
      </x:c>
      <x:c r="D179" t="str">
        <x:v>req_f75facfa5c4b</x:v>
      </x:c>
      <x:c r="E179" t="str">
        <x:v>doc-summarizer</x:v>
      </x:c>
      <x:c r="F179" t="str">
        <x:v>prod</x:v>
      </x:c>
      <x:c r="G179" t="str">
        <x:v>enterprise</x:v>
      </x:c>
      <x:c r="H179" t="str">
        <x:v>gpt-5</x:v>
      </x:c>
      <x:c r="I179" t="str">
        <x:v>chat_completion</x:v>
      </x:c>
      <x:c r="J179" t="str">
        <x:v>success</x:v>
      </x:c>
      <x:c r="K179" t="n">
        <x:v>1488</x:v>
      </x:c>
      <x:c r="L179" t="n">
        <x:v>440</x:v>
      </x:c>
      <x:c r="M179" t="n">
        <x:v>1022</x:v>
      </x:c>
      <x:c r="N179" t="n">
        <x:v>356</x:v>
      </x:c>
      <x:c r="O179" t="n">
        <x:f>M179+N179</x:f>
        <x:v>1378</x:v>
      </x:c>
      <x:c r="P179" s="14" t="n">
        <x:f>M179/1000000*VLOOKUP(H179,'Model Rates'!$A$2:$C$5,2,FALSE)+N179/1000000*VLOOKUP(H179,'Model Rates'!$A$2:$C$5,3,FALSE)</x:f>
        <x:v>0.0048375</x:v>
      </x:c>
      <x:c r="Q179" t="str">
        <x:v>v1.9</x:v>
      </x:c>
      <x:c r="R179" t="n">
        <x:v>0</x:v>
      </x:c>
      <x:c r="S179" s="1" t="b">
        <x:v>0</x:v>
      </x:c>
      <x:c r="T179" t="str">
        <x:v>blocked</x:v>
      </x:c>
      <x:c r="U179" s="16" t="n">
        <x:v>0.006</x:v>
      </x:c>
      <x:c r="V179" s="16" t="n">
        <x:v>0.959</x:v>
      </x:c>
      <x:c r="W179" s="16" t="n">
        <x:v>0.752</x:v>
      </x:c>
      <x:c r="X179" t="str">
        <x:v>none</x:v>
      </x:c>
      <x:c r="Y179" t="str"/>
    </x:row>
    <x:row r="180">
      <x:c r="A180" s="12" t="n">
        <x:v>46243.60396990741</x:v>
      </x:c>
      <x:c r="B180" t="str">
        <x:v>tr_4034aab4a164</x:v>
      </x:c>
      <x:c r="C180" t="str">
        <x:v>sp_0671a7e53c</x:v>
      </x:c>
      <x:c r="D180" t="str">
        <x:v>req_bab2186558eb</x:v>
      </x:c>
      <x:c r="E180" t="str">
        <x:v>support-copilot</x:v>
      </x:c>
      <x:c r="F180" t="str">
        <x:v>prod</x:v>
      </x:c>
      <x:c r="G180" t="str">
        <x:v>free</x:v>
      </x:c>
      <x:c r="H180" t="str">
        <x:v>claude-sonnet</x:v>
      </x:c>
      <x:c r="I180" t="str">
        <x:v>tool_agent</x:v>
      </x:c>
      <x:c r="J180" t="str">
        <x:v>success</x:v>
      </x:c>
      <x:c r="K180" t="n">
        <x:v>2347</x:v>
      </x:c>
      <x:c r="L180" t="n">
        <x:v>471</x:v>
      </x:c>
      <x:c r="M180" t="n">
        <x:v>389</x:v>
      </x:c>
      <x:c r="N180" t="n">
        <x:v>1008</x:v>
      </x:c>
      <x:c r="O180" t="n">
        <x:f>M180+N180</x:f>
        <x:v>1397</x:v>
      </x:c>
      <x:c r="P180" s="14" t="n">
        <x:f>M180/1000000*VLOOKUP(H180,'Model Rates'!$A$2:$C$5,2,FALSE)+N180/1000000*VLOOKUP(H180,'Model Rates'!$A$2:$C$5,3,FALSE)</x:f>
        <x:v>0.016287</x:v>
      </x:c>
      <x:c r="Q180" t="str">
        <x:v>v1.8</x:v>
      </x:c>
      <x:c r="R180" t="n">
        <x:v>1</x:v>
      </x:c>
      <x:c r="S180" s="1" t="b">
        <x:v>0</x:v>
      </x:c>
      <x:c r="T180" t="str">
        <x:v>pass</x:v>
      </x:c>
      <x:c r="U180" s="16" t="n">
        <x:v>0.009</x:v>
      </x:c>
      <x:c r="V180" s="16" t="n">
        <x:v>0.929</x:v>
      </x:c>
      <x:c r="W180" s="16" t="n">
        <x:v>0.915</x:v>
      </x:c>
      <x:c r="X180" t="str">
        <x:v>none</x:v>
      </x:c>
      <x:c r="Y180" t="str"/>
    </x:row>
    <x:row r="181">
      <x:c r="A181" s="12" t="n">
        <x:v>46243.60821759259</x:v>
      </x:c>
      <x:c r="B181" t="str">
        <x:v>tr_81b9a71c8c70</x:v>
      </x:c>
      <x:c r="C181" t="str">
        <x:v>sp_2647c7b107</x:v>
      </x:c>
      <x:c r="D181" t="str">
        <x:v>req_2f41b51db411</x:v>
      </x:c>
      <x:c r="E181" t="str">
        <x:v>agent-workflow</x:v>
      </x:c>
      <x:c r="F181" t="str">
        <x:v>prod</x:v>
      </x:c>
      <x:c r="G181" t="str">
        <x:v>pro</x:v>
      </x:c>
      <x:c r="H181" t="str">
        <x:v>gpt-5-mini</x:v>
      </x:c>
      <x:c r="I181" t="str">
        <x:v>summarization</x:v>
      </x:c>
      <x:c r="J181" t="str">
        <x:v>success</x:v>
      </x:c>
      <x:c r="K181" t="n">
        <x:v>1561</x:v>
      </x:c>
      <x:c r="L181" t="n">
        <x:v>163</x:v>
      </x:c>
      <x:c r="M181" t="n">
        <x:v>604</x:v>
      </x:c>
      <x:c r="N181" t="n">
        <x:v>283</x:v>
      </x:c>
      <x:c r="O181" t="n">
        <x:f>M181+N181</x:f>
        <x:v>887</x:v>
      </x:c>
      <x:c r="P181" s="14" t="n">
        <x:f>M181/1000000*VLOOKUP(H181,'Model Rates'!$A$2:$C$5,2,FALSE)+N181/1000000*VLOOKUP(H181,'Model Rates'!$A$2:$C$5,3,FALSE)</x:f>
        <x:v>0.0006944</x:v>
      </x:c>
      <x:c r="Q181" t="str">
        <x:v>v1.8</x:v>
      </x:c>
      <x:c r="R181" t="n">
        <x:v>1</x:v>
      </x:c>
      <x:c r="S181" s="1" t="b">
        <x:v>0</x:v>
      </x:c>
      <x:c r="T181" t="str">
        <x:v>pass</x:v>
      </x:c>
      <x:c r="U181" s="16" t="n">
        <x:v>0</x:v>
      </x:c>
      <x:c r="V181" s="16" t="n">
        <x:v>0.843</x:v>
      </x:c>
      <x:c r="W181" s="16" t="n">
        <x:v>0.845</x:v>
      </x:c>
      <x:c r="X181" t="str">
        <x:v>none</x:v>
      </x:c>
      <x:c r="Y181" t="str"/>
    </x:row>
    <x:row r="182">
      <x:c r="A182" s="12" t="n">
        <x:v>46243.61560185185</x:v>
      </x:c>
      <x:c r="B182" t="str">
        <x:v>tr_deace429e6a4</x:v>
      </x:c>
      <x:c r="C182" t="str">
        <x:v>sp_630b5921ea</x:v>
      </x:c>
      <x:c r="D182" t="str">
        <x:v>req_e97b8af9df59</x:v>
      </x:c>
      <x:c r="E182" t="str">
        <x:v>support-copilot</x:v>
      </x:c>
      <x:c r="F182" t="str">
        <x:v>prod</x:v>
      </x:c>
      <x:c r="G182" t="str">
        <x:v>pro</x:v>
      </x:c>
      <x:c r="H182" t="str">
        <x:v>gpt-5-mini</x:v>
      </x:c>
      <x:c r="I182" t="str">
        <x:v>retrieval_answer</x:v>
      </x:c>
      <x:c r="J182" t="str">
        <x:v>success</x:v>
      </x:c>
      <x:c r="K182" t="n">
        <x:v>1057</x:v>
      </x:c>
      <x:c r="L182" t="n">
        <x:v>241</x:v>
      </x:c>
      <x:c r="M182" t="n">
        <x:v>545</x:v>
      </x:c>
      <x:c r="N182" t="n">
        <x:v>153</x:v>
      </x:c>
      <x:c r="O182" t="n">
        <x:f>M182+N182</x:f>
        <x:v>698</x:v>
      </x:c>
      <x:c r="P182" s="14" t="n">
        <x:f>M182/1000000*VLOOKUP(H182,'Model Rates'!$A$2:$C$5,2,FALSE)+N182/1000000*VLOOKUP(H182,'Model Rates'!$A$2:$C$5,3,FALSE)</x:f>
        <x:v>0.0004628000000000001</x:v>
      </x:c>
      <x:c r="Q182" t="str">
        <x:v>v2.0</x:v>
      </x:c>
      <x:c r="R182" t="n">
        <x:v>0</x:v>
      </x:c>
      <x:c r="S182" s="1" t="b">
        <x:v>0</x:v>
      </x:c>
      <x:c r="T182" t="str">
        <x:v>blocked</x:v>
      </x:c>
      <x:c r="U182" s="16" t="n">
        <x:v>0.149</x:v>
      </x:c>
      <x:c r="V182" s="16" t="n">
        <x:v>0.736</x:v>
      </x:c>
      <x:c r="W182" s="16" t="n">
        <x:v>0.94</x:v>
      </x:c>
      <x:c r="X182" t="str">
        <x:v>negative</x:v>
      </x:c>
      <x:c r="Y182" t="str"/>
    </x:row>
    <x:row r="183">
      <x:c r="A183" s="12" t="n">
        <x:v>46243.625</x:v>
      </x:c>
      <x:c r="B183" t="str">
        <x:v>tr_62647d89dd73</x:v>
      </x:c>
      <x:c r="C183" t="str">
        <x:v>sp_05bbf59fcd</x:v>
      </x:c>
      <x:c r="D183" t="str">
        <x:v>req_a7383ac77754</x:v>
      </x:c>
      <x:c r="E183" t="str">
        <x:v>search-assistant</x:v>
      </x:c>
      <x:c r="F183" t="str">
        <x:v>prod</x:v>
      </x:c>
      <x:c r="G183" t="str">
        <x:v>free</x:v>
      </x:c>
      <x:c r="H183" t="str">
        <x:v>gpt-5-mini</x:v>
      </x:c>
      <x:c r="I183" t="str">
        <x:v>tool_agent</x:v>
      </x:c>
      <x:c r="J183" t="str">
        <x:v>success</x:v>
      </x:c>
      <x:c r="K183" t="n">
        <x:v>1614</x:v>
      </x:c>
      <x:c r="L183" t="n">
        <x:v>218</x:v>
      </x:c>
      <x:c r="M183" t="n">
        <x:v>1093</x:v>
      </x:c>
      <x:c r="N183" t="n">
        <x:v>509</x:v>
      </x:c>
      <x:c r="O183" t="n">
        <x:f>M183+N183</x:f>
        <x:v>1602</x:v>
      </x:c>
      <x:c r="P183" s="14" t="n">
        <x:f>M183/1000000*VLOOKUP(H183,'Model Rates'!$A$2:$C$5,2,FALSE)+N183/1000000*VLOOKUP(H183,'Model Rates'!$A$2:$C$5,3,FALSE)</x:f>
        <x:v>0.0012516</x:v>
      </x:c>
      <x:c r="Q183" t="str">
        <x:v>v2.0</x:v>
      </x:c>
      <x:c r="R183" t="n">
        <x:v>1</x:v>
      </x:c>
      <x:c r="S183" s="1" t="b">
        <x:v>0</x:v>
      </x:c>
      <x:c r="T183" t="str">
        <x:v>pass</x:v>
      </x:c>
      <x:c r="U183" s="16" t="n">
        <x:v>0</x:v>
      </x:c>
      <x:c r="V183" s="16" t="n">
        <x:v>0.823</x:v>
      </x:c>
      <x:c r="W183" s="16" t="n">
        <x:v>0.872</x:v>
      </x:c>
      <x:c r="X183" t="str">
        <x:v>none</x:v>
      </x:c>
      <x:c r="Y183" t="str"/>
    </x:row>
    <x:row r="184">
      <x:c r="A184" s="12" t="n">
        <x:v>46243.631006944444</x:v>
      </x:c>
      <x:c r="B184" t="str">
        <x:v>tr_e1952d1c2a60</x:v>
      </x:c>
      <x:c r="C184" t="str">
        <x:v>sp_70b15cb6f8</x:v>
      </x:c>
      <x:c r="D184" t="str">
        <x:v>req_8421819f9925</x:v>
      </x:c>
      <x:c r="E184" t="str">
        <x:v>support-copilot</x:v>
      </x:c>
      <x:c r="F184" t="str">
        <x:v>prod</x:v>
      </x:c>
      <x:c r="G184" t="str">
        <x:v>free</x:v>
      </x:c>
      <x:c r="H184" t="str">
        <x:v>claude-sonnet</x:v>
      </x:c>
      <x:c r="I184" t="str">
        <x:v>chat_completion</x:v>
      </x:c>
      <x:c r="J184" t="str">
        <x:v>success</x:v>
      </x:c>
      <x:c r="K184" t="n">
        <x:v>1497</x:v>
      </x:c>
      <x:c r="L184" t="n">
        <x:v>476</x:v>
      </x:c>
      <x:c r="M184" t="n">
        <x:v>3863</x:v>
      </x:c>
      <x:c r="N184" t="n">
        <x:v>156</x:v>
      </x:c>
      <x:c r="O184" t="n">
        <x:f>M184+N184</x:f>
        <x:v>4019</x:v>
      </x:c>
      <x:c r="P184" s="14" t="n">
        <x:f>M184/1000000*VLOOKUP(H184,'Model Rates'!$A$2:$C$5,2,FALSE)+N184/1000000*VLOOKUP(H184,'Model Rates'!$A$2:$C$5,3,FALSE)</x:f>
        <x:v>0.013929</x:v>
      </x:c>
      <x:c r="Q184" t="str">
        <x:v>v1.8</x:v>
      </x:c>
      <x:c r="R184" t="n">
        <x:v>0</x:v>
      </x:c>
      <x:c r="S184" s="1" t="b">
        <x:v>1</x:v>
      </x:c>
      <x:c r="T184" t="str">
        <x:v>blocked</x:v>
      </x:c>
      <x:c r="U184" s="16" t="n">
        <x:v>0.13</x:v>
      </x:c>
      <x:c r="V184" s="16" t="n">
        <x:v>0.901</x:v>
      </x:c>
      <x:c r="W184" s="16" t="n">
        <x:v>1</x:v>
      </x:c>
      <x:c r="X184" t="str">
        <x:v>negative</x:v>
      </x:c>
      <x:c r="Y184" t="str"/>
    </x:row>
    <x:row r="185">
      <x:c r="A185" s="12" t="n">
        <x:v>46243.631574074076</x:v>
      </x:c>
      <x:c r="B185" t="str">
        <x:v>tr_f79a3bfb1ff3</x:v>
      </x:c>
      <x:c r="C185" t="str">
        <x:v>sp_df58bf8cfd</x:v>
      </x:c>
      <x:c r="D185" t="str">
        <x:v>req_ef40b0999a8f</x:v>
      </x:c>
      <x:c r="E185" t="str">
        <x:v>doc-summarizer</x:v>
      </x:c>
      <x:c r="F185" t="str">
        <x:v>prod</x:v>
      </x:c>
      <x:c r="G185" t="str">
        <x:v>pro</x:v>
      </x:c>
      <x:c r="H185" t="str">
        <x:v>gpt-5-mini</x:v>
      </x:c>
      <x:c r="I185" t="str">
        <x:v>retrieval_answer</x:v>
      </x:c>
      <x:c r="J185" t="str">
        <x:v>success</x:v>
      </x:c>
      <x:c r="K185" t="n">
        <x:v>714</x:v>
      </x:c>
      <x:c r="L185" t="n">
        <x:v>278</x:v>
      </x:c>
      <x:c r="M185" t="n">
        <x:v>637</x:v>
      </x:c>
      <x:c r="N185" t="n">
        <x:v>385</x:v>
      </x:c>
      <x:c r="O185" t="n">
        <x:f>M185+N185</x:f>
        <x:v>1022</x:v>
      </x:c>
      <x:c r="P185" s="14" t="n">
        <x:f>M185/1000000*VLOOKUP(H185,'Model Rates'!$A$2:$C$5,2,FALSE)+N185/1000000*VLOOKUP(H185,'Model Rates'!$A$2:$C$5,3,FALSE)</x:f>
        <x:v>0.0008708</x:v>
      </x:c>
      <x:c r="Q185" t="str">
        <x:v>v1.8</x:v>
      </x:c>
      <x:c r="R185" t="n">
        <x:v>0</x:v>
      </x:c>
      <x:c r="S185" s="1" t="b">
        <x:v>1</x:v>
      </x:c>
      <x:c r="T185" t="str">
        <x:v>pass</x:v>
      </x:c>
      <x:c r="U185" s="16" t="n">
        <x:v>0</x:v>
      </x:c>
      <x:c r="V185" s="16" t="n">
        <x:v>0.903</x:v>
      </x:c>
      <x:c r="W185" s="16" t="n">
        <x:v>0.934</x:v>
      </x:c>
      <x:c r="X185" t="str">
        <x:v>none</x:v>
      </x:c>
      <x:c r="Y185" t="str"/>
    </x:row>
    <x:row r="186">
      <x:c r="A186" s="12" t="n">
        <x:v>46243.63332175926</x:v>
      </x:c>
      <x:c r="B186" t="str">
        <x:v>tr_acd89365eb26</x:v>
      </x:c>
      <x:c r="C186" t="str">
        <x:v>sp_a0fafcd26a</x:v>
      </x:c>
      <x:c r="D186" t="str">
        <x:v>req_130cd3322a68</x:v>
      </x:c>
      <x:c r="E186" t="str">
        <x:v>doc-summarizer</x:v>
      </x:c>
      <x:c r="F186" t="str">
        <x:v>prod</x:v>
      </x:c>
      <x:c r="G186" t="str">
        <x:v>free</x:v>
      </x:c>
      <x:c r="H186" t="str">
        <x:v>gpt-5</x:v>
      </x:c>
      <x:c r="I186" t="str">
        <x:v>chat_completion</x:v>
      </x:c>
      <x:c r="J186" t="str">
        <x:v>success</x:v>
      </x:c>
      <x:c r="K186" t="n">
        <x:v>1089</x:v>
      </x:c>
      <x:c r="L186" t="n">
        <x:v>484</x:v>
      </x:c>
      <x:c r="M186" t="n">
        <x:v>921</x:v>
      </x:c>
      <x:c r="N186" t="n">
        <x:v>94</x:v>
      </x:c>
      <x:c r="O186" t="n">
        <x:f>M186+N186</x:f>
        <x:v>1015</x:v>
      </x:c>
      <x:c r="P186" s="14" t="n">
        <x:f>M186/1000000*VLOOKUP(H186,'Model Rates'!$A$2:$C$5,2,FALSE)+N186/1000000*VLOOKUP(H186,'Model Rates'!$A$2:$C$5,3,FALSE)</x:f>
        <x:v>0.0020912500000000002</x:v>
      </x:c>
      <x:c r="Q186" t="str">
        <x:v>v1.8</x:v>
      </x:c>
      <x:c r="R186" t="n">
        <x:v>0</x:v>
      </x:c>
      <x:c r="S186" s="1" t="b">
        <x:v>0</x:v>
      </x:c>
      <x:c r="T186" t="str">
        <x:v>pass</x:v>
      </x:c>
      <x:c r="U186" s="16" t="n">
        <x:v>0.025</x:v>
      </x:c>
      <x:c r="V186" s="16" t="n">
        <x:v>0.963</x:v>
      </x:c>
      <x:c r="W186" s="16" t="n">
        <x:v>0.826</x:v>
      </x:c>
      <x:c r="X186" t="str">
        <x:v>none</x:v>
      </x:c>
      <x:c r="Y186" t="str"/>
    </x:row>
    <x:row r="187">
      <x:c r="A187" s="12" t="n">
        <x:v>46243.63431712963</x:v>
      </x:c>
      <x:c r="B187" t="str">
        <x:v>tr_f3b0a655e374</x:v>
      </x:c>
      <x:c r="C187" t="str">
        <x:v>sp_d4c6bb8e2e</x:v>
      </x:c>
      <x:c r="D187" t="str">
        <x:v>req_e21a3184b89f</x:v>
      </x:c>
      <x:c r="E187" t="str">
        <x:v>search-assistant</x:v>
      </x:c>
      <x:c r="F187" t="str">
        <x:v>prod</x:v>
      </x:c>
      <x:c r="G187" t="str">
        <x:v>enterprise</x:v>
      </x:c>
      <x:c r="H187" t="str">
        <x:v>gpt-5-mini</x:v>
      </x:c>
      <x:c r="I187" t="str">
        <x:v>summarization</x:v>
      </x:c>
      <x:c r="J187" t="str">
        <x:v>success</x:v>
      </x:c>
      <x:c r="K187" t="n">
        <x:v>1075</x:v>
      </x:c>
      <x:c r="L187" t="n">
        <x:v>183</x:v>
      </x:c>
      <x:c r="M187" t="n">
        <x:v>615</x:v>
      </x:c>
      <x:c r="N187" t="n">
        <x:v>529</x:v>
      </x:c>
      <x:c r="O187" t="n">
        <x:f>M187+N187</x:f>
        <x:v>1144</x:v>
      </x:c>
      <x:c r="P187" s="14" t="n">
        <x:f>M187/1000000*VLOOKUP(H187,'Model Rates'!$A$2:$C$5,2,FALSE)+N187/1000000*VLOOKUP(H187,'Model Rates'!$A$2:$C$5,3,FALSE)</x:f>
        <x:v>0.0010923999999999999</x:v>
      </x:c>
      <x:c r="Q187" t="str">
        <x:v>v2.0</x:v>
      </x:c>
      <x:c r="R187" t="n">
        <x:v>0</x:v>
      </x:c>
      <x:c r="S187" s="1" t="b">
        <x:v>0</x:v>
      </x:c>
      <x:c r="T187" t="str">
        <x:v>pass</x:v>
      </x:c>
      <x:c r="U187" s="16" t="n">
        <x:v>0.106</x:v>
      </x:c>
      <x:c r="V187" s="16" t="n">
        <x:v>0.918</x:v>
      </x:c>
      <x:c r="W187" s="16" t="n">
        <x:v>0.982</x:v>
      </x:c>
      <x:c r="X187" t="str">
        <x:v>none</x:v>
      </x:c>
      <x:c r="Y187" t="str"/>
    </x:row>
    <x:row r="188">
      <x:c r="A188" s="12" t="n">
        <x:v>46243.63511574074</x:v>
      </x:c>
      <x:c r="B188" t="str">
        <x:v>tr_81d286d8f682</x:v>
      </x:c>
      <x:c r="C188" t="str">
        <x:v>sp_21f5bda225</x:v>
      </x:c>
      <x:c r="D188" t="str">
        <x:v>req_c813c0345ef7</x:v>
      </x:c>
      <x:c r="E188" t="str">
        <x:v>search-assistant</x:v>
      </x:c>
      <x:c r="F188" t="str">
        <x:v>prod</x:v>
      </x:c>
      <x:c r="G188" t="str">
        <x:v>free</x:v>
      </x:c>
      <x:c r="H188" t="str">
        <x:v>gemini-pro</x:v>
      </x:c>
      <x:c r="I188" t="str">
        <x:v>summarization</x:v>
      </x:c>
      <x:c r="J188" t="str">
        <x:v>success</x:v>
      </x:c>
      <x:c r="K188" t="n">
        <x:v>1265</x:v>
      </x:c>
      <x:c r="L188" t="n">
        <x:v>356</x:v>
      </x:c>
      <x:c r="M188" t="n">
        <x:v>370</x:v>
      </x:c>
      <x:c r="N188" t="n">
        <x:v>392</x:v>
      </x:c>
      <x:c r="O188" t="n">
        <x:f>M188+N188</x:f>
        <x:v>762</x:v>
      </x:c>
      <x:c r="P188" s="14" t="n">
        <x:f>M188/1000000*VLOOKUP(H188,'Model Rates'!$A$2:$C$5,2,FALSE)+N188/1000000*VLOOKUP(H188,'Model Rates'!$A$2:$C$5,3,FALSE)</x:f>
        <x:v>0.0024225</x:v>
      </x:c>
      <x:c r="Q188" t="str">
        <x:v>v1.9</x:v>
      </x:c>
      <x:c r="R188" t="n">
        <x:v>0</x:v>
      </x:c>
      <x:c r="S188" s="1" t="b">
        <x:v>1</x:v>
      </x:c>
      <x:c r="T188" t="str">
        <x:v>pass</x:v>
      </x:c>
      <x:c r="U188" s="16" t="n">
        <x:v>0.164</x:v>
      </x:c>
      <x:c r="V188" s="16" t="n">
        <x:v>0.983</x:v>
      </x:c>
      <x:c r="W188" s="16" t="n">
        <x:v>1</x:v>
      </x:c>
      <x:c r="X188" t="str">
        <x:v>none</x:v>
      </x:c>
      <x:c r="Y188" t="str"/>
    </x:row>
    <x:row r="189">
      <x:c r="A189" s="12" t="n">
        <x:v>46243.64074074074</x:v>
      </x:c>
      <x:c r="B189" t="str">
        <x:v>tr_0bf1e0887697</x:v>
      </x:c>
      <x:c r="C189" t="str">
        <x:v>sp_afb30049a2</x:v>
      </x:c>
      <x:c r="D189" t="str">
        <x:v>req_902f4cb15e8a</x:v>
      </x:c>
      <x:c r="E189" t="str">
        <x:v>support-copilot</x:v>
      </x:c>
      <x:c r="F189" t="str">
        <x:v>prod</x:v>
      </x:c>
      <x:c r="G189" t="str">
        <x:v>pro</x:v>
      </x:c>
      <x:c r="H189" t="str">
        <x:v>claude-sonnet</x:v>
      </x:c>
      <x:c r="I189" t="str">
        <x:v>chat_completion</x:v>
      </x:c>
      <x:c r="J189" t="str">
        <x:v>success</x:v>
      </x:c>
      <x:c r="K189" t="n">
        <x:v>1282</x:v>
      </x:c>
      <x:c r="L189" t="n">
        <x:v>519</x:v>
      </x:c>
      <x:c r="M189" t="n">
        <x:v>613</x:v>
      </x:c>
      <x:c r="N189" t="n">
        <x:v>803</x:v>
      </x:c>
      <x:c r="O189" t="n">
        <x:f>M189+N189</x:f>
        <x:v>1416</x:v>
      </x:c>
      <x:c r="P189" s="14" t="n">
        <x:f>M189/1000000*VLOOKUP(H189,'Model Rates'!$A$2:$C$5,2,FALSE)+N189/1000000*VLOOKUP(H189,'Model Rates'!$A$2:$C$5,3,FALSE)</x:f>
        <x:v>0.013884</x:v>
      </x:c>
      <x:c r="Q189" t="str">
        <x:v>v1.9</x:v>
      </x:c>
      <x:c r="R189" t="n">
        <x:v>0</x:v>
      </x:c>
      <x:c r="S189" s="1" t="b">
        <x:v>1</x:v>
      </x:c>
      <x:c r="T189" t="str">
        <x:v>blocked</x:v>
      </x:c>
      <x:c r="U189" s="16" t="n">
        <x:v>0.133</x:v>
      </x:c>
      <x:c r="V189" s="16" t="n">
        <x:v>0.941</x:v>
      </x:c>
      <x:c r="W189" s="16" t="n">
        <x:v>0.933</x:v>
      </x:c>
      <x:c r="X189" t="str">
        <x:v>none</x:v>
      </x:c>
      <x:c r="Y189" t="str"/>
    </x:row>
    <x:row r="190">
      <x:c r="A190" s="12" t="n">
        <x:v>46243.64111111111</x:v>
      </x:c>
      <x:c r="B190" t="str">
        <x:v>tr_411d580e40ef</x:v>
      </x:c>
      <x:c r="C190" t="str">
        <x:v>sp_94bfa37866</x:v>
      </x:c>
      <x:c r="D190" t="str">
        <x:v>req_2c2fdab8ac0e</x:v>
      </x:c>
      <x:c r="E190" t="str">
        <x:v>search-assistant</x:v>
      </x:c>
      <x:c r="F190" t="str">
        <x:v>prod</x:v>
      </x:c>
      <x:c r="G190" t="str">
        <x:v>pro</x:v>
      </x:c>
      <x:c r="H190" t="str">
        <x:v>gpt-5-mini</x:v>
      </x:c>
      <x:c r="I190" t="str">
        <x:v>chat_completion</x:v>
      </x:c>
      <x:c r="J190" t="str">
        <x:v>success</x:v>
      </x:c>
      <x:c r="K190" t="n">
        <x:v>1017</x:v>
      </x:c>
      <x:c r="L190" t="n">
        <x:v>167</x:v>
      </x:c>
      <x:c r="M190" t="n">
        <x:v>2219</x:v>
      </x:c>
      <x:c r="N190" t="n">
        <x:v>759</x:v>
      </x:c>
      <x:c r="O190" t="n">
        <x:f>M190+N190</x:f>
        <x:v>2978</x:v>
      </x:c>
      <x:c r="P190" s="14" t="n">
        <x:f>M190/1000000*VLOOKUP(H190,'Model Rates'!$A$2:$C$5,2,FALSE)+N190/1000000*VLOOKUP(H190,'Model Rates'!$A$2:$C$5,3,FALSE)</x:f>
        <x:v>0.002102</x:v>
      </x:c>
      <x:c r="Q190" t="str">
        <x:v>v1.8</x:v>
      </x:c>
      <x:c r="R190" t="n">
        <x:v>0</x:v>
      </x:c>
      <x:c r="S190" s="1" t="b">
        <x:v>0</x:v>
      </x:c>
      <x:c r="T190" t="str">
        <x:v>review</x:v>
      </x:c>
      <x:c r="U190" s="16" t="n">
        <x:v>0.036</x:v>
      </x:c>
      <x:c r="V190" s="16" t="n">
        <x:v>0.979</x:v>
      </x:c>
      <x:c r="W190" s="16" t="n">
        <x:v>0.938</x:v>
      </x:c>
      <x:c r="X190" t="str">
        <x:v>positive</x:v>
      </x:c>
      <x:c r="Y190" t="str"/>
    </x:row>
    <x:row r="191">
      <x:c r="A191" s="12" t="n">
        <x:v>46243.64288194444</x:v>
      </x:c>
      <x:c r="B191" t="str">
        <x:v>tr_08c4f92aca87</x:v>
      </x:c>
      <x:c r="C191" t="str">
        <x:v>sp_1f6e1a7c33</x:v>
      </x:c>
      <x:c r="D191" t="str">
        <x:v>req_b804b0de00ec</x:v>
      </x:c>
      <x:c r="E191" t="str">
        <x:v>search-assistant</x:v>
      </x:c>
      <x:c r="F191" t="str">
        <x:v>staging</x:v>
      </x:c>
      <x:c r="G191" t="str">
        <x:v>enterprise</x:v>
      </x:c>
      <x:c r="H191" t="str">
        <x:v>gpt-5</x:v>
      </x:c>
      <x:c r="I191" t="str">
        <x:v>tool_agent</x:v>
      </x:c>
      <x:c r="J191" t="str">
        <x:v>success</x:v>
      </x:c>
      <x:c r="K191" t="n">
        <x:v>2645</x:v>
      </x:c>
      <x:c r="L191" t="n">
        <x:v>449</x:v>
      </x:c>
      <x:c r="M191" t="n">
        <x:v>548</x:v>
      </x:c>
      <x:c r="N191" t="n">
        <x:v>674</x:v>
      </x:c>
      <x:c r="O191" t="n">
        <x:f>M191+N191</x:f>
        <x:v>1222</x:v>
      </x:c>
      <x:c r="P191" s="14" t="n">
        <x:f>M191/1000000*VLOOKUP(H191,'Model Rates'!$A$2:$C$5,2,FALSE)+N191/1000000*VLOOKUP(H191,'Model Rates'!$A$2:$C$5,3,FALSE)</x:f>
        <x:v>0.007425</x:v>
      </x:c>
      <x:c r="Q191" t="str">
        <x:v>v2.0</x:v>
      </x:c>
      <x:c r="R191" t="n">
        <x:v>2</x:v>
      </x:c>
      <x:c r="S191" s="1" t="b">
        <x:v>0</x:v>
      </x:c>
      <x:c r="T191" t="str">
        <x:v>pass</x:v>
      </x:c>
      <x:c r="U191" s="16" t="n">
        <x:v>0</x:v>
      </x:c>
      <x:c r="V191" s="16" t="n">
        <x:v>0.835</x:v>
      </x:c>
      <x:c r="W191" s="16" t="n">
        <x:v>0.75</x:v>
      </x:c>
      <x:c r="X191" t="str">
        <x:v>none</x:v>
      </x:c>
      <x:c r="Y191" t="str"/>
    </x:row>
    <x:row r="192">
      <x:c r="A192" s="12" t="n">
        <x:v>46243.64398148148</x:v>
      </x:c>
      <x:c r="B192" t="str">
        <x:v>tr_8d65bcfb635d</x:v>
      </x:c>
      <x:c r="C192" t="str">
        <x:v>sp_50df8442a2</x:v>
      </x:c>
      <x:c r="D192" t="str">
        <x:v>req_ffb2003e4025</x:v>
      </x:c>
      <x:c r="E192" t="str">
        <x:v>search-assistant</x:v>
      </x:c>
      <x:c r="F192" t="str">
        <x:v>prod</x:v>
      </x:c>
      <x:c r="G192" t="str">
        <x:v>free</x:v>
      </x:c>
      <x:c r="H192" t="str">
        <x:v>gpt-5-mini</x:v>
      </x:c>
      <x:c r="I192" t="str">
        <x:v>chat_completion</x:v>
      </x:c>
      <x:c r="J192" t="str">
        <x:v>error</x:v>
      </x:c>
      <x:c r="K192" t="n">
        <x:v>875</x:v>
      </x:c>
      <x:c r="L192" t="n">
        <x:v>121</x:v>
      </x:c>
      <x:c r="M192" t="n">
        <x:v>699</x:v>
      </x:c>
      <x:c r="N192" t="n">
        <x:v>217</x:v>
      </x:c>
      <x:c r="O192" t="n">
        <x:f>M192+N192</x:f>
        <x:v>916</x:v>
      </x:c>
      <x:c r="P192" s="14" t="n">
        <x:f>M192/1000000*VLOOKUP(H192,'Model Rates'!$A$2:$C$5,2,FALSE)+N192/1000000*VLOOKUP(H192,'Model Rates'!$A$2:$C$5,3,FALSE)</x:f>
        <x:v>0.0006268000000000001</x:v>
      </x:c>
      <x:c r="Q192" t="str">
        <x:v>v1.8</x:v>
      </x:c>
      <x:c r="R192" t="n">
        <x:v>0</x:v>
      </x:c>
      <x:c r="S192" s="1" t="b">
        <x:v>0</x:v>
      </x:c>
      <x:c r="T192" t="str">
        <x:v>pass</x:v>
      </x:c>
      <x:c r="U192" s="16" t="n">
        <x:v>0.414</x:v>
      </x:c>
      <x:c r="V192" s="16" t="n">
        <x:v>0.707</x:v>
      </x:c>
      <x:c r="W192" s="16" t="n">
        <x:v>0.553</x:v>
      </x:c>
      <x:c r="X192" t="str">
        <x:v>none</x:v>
      </x:c>
      <x:c r="Y192" t="str">
        <x:v>rate_limit</x:v>
      </x:c>
    </x:row>
    <x:row r="193">
      <x:c r="A193" s="12" t="n">
        <x:v>46243.64792824074</x:v>
      </x:c>
      <x:c r="B193" t="str">
        <x:v>tr_79ca3c82b1e3</x:v>
      </x:c>
      <x:c r="C193" t="str">
        <x:v>sp_0fa75b543c</x:v>
      </x:c>
      <x:c r="D193" t="str">
        <x:v>req_8e0637c11dd6</x:v>
      </x:c>
      <x:c r="E193" t="str">
        <x:v>support-copilot</x:v>
      </x:c>
      <x:c r="F193" t="str">
        <x:v>prod</x:v>
      </x:c>
      <x:c r="G193" t="str">
        <x:v>free</x:v>
      </x:c>
      <x:c r="H193" t="str">
        <x:v>gpt-5-mini</x:v>
      </x:c>
      <x:c r="I193" t="str">
        <x:v>summarization</x:v>
      </x:c>
      <x:c r="J193" t="str">
        <x:v>success</x:v>
      </x:c>
      <x:c r="K193" t="n">
        <x:v>1514</x:v>
      </x:c>
      <x:c r="L193" t="n">
        <x:v>189</x:v>
      </x:c>
      <x:c r="M193" t="n">
        <x:v>774</x:v>
      </x:c>
      <x:c r="N193" t="n">
        <x:v>161</x:v>
      </x:c>
      <x:c r="O193" t="n">
        <x:f>M193+N193</x:f>
        <x:v>935</x:v>
      </x:c>
      <x:c r="P193" s="14" t="n">
        <x:f>M193/1000000*VLOOKUP(H193,'Model Rates'!$A$2:$C$5,2,FALSE)+N193/1000000*VLOOKUP(H193,'Model Rates'!$A$2:$C$5,3,FALSE)</x:f>
        <x:v>0.0005672</x:v>
      </x:c>
      <x:c r="Q193" t="str">
        <x:v>v1.9</x:v>
      </x:c>
      <x:c r="R193" t="n">
        <x:v>1</x:v>
      </x:c>
      <x:c r="S193" s="1" t="b">
        <x:v>0</x:v>
      </x:c>
      <x:c r="T193" t="str">
        <x:v>blocked</x:v>
      </x:c>
      <x:c r="U193" s="16" t="n">
        <x:v>0</x:v>
      </x:c>
      <x:c r="V193" s="16" t="n">
        <x:v>0.842</x:v>
      </x:c>
      <x:c r="W193" s="16" t="n">
        <x:v>0.853</x:v>
      </x:c>
      <x:c r="X193" t="str">
        <x:v>none</x:v>
      </x:c>
      <x:c r="Y193" t="str"/>
    </x:row>
    <x:row r="194">
      <x:c r="A194" s="12" t="n">
        <x:v>46243.65115740741</x:v>
      </x:c>
      <x:c r="B194" t="str">
        <x:v>tr_7ffa56e658d8</x:v>
      </x:c>
      <x:c r="C194" t="str">
        <x:v>sp_438d2580f4</x:v>
      </x:c>
      <x:c r="D194" t="str">
        <x:v>req_2b798d2142cd</x:v>
      </x:c>
      <x:c r="E194" t="str">
        <x:v>support-copilot</x:v>
      </x:c>
      <x:c r="F194" t="str">
        <x:v>prod</x:v>
      </x:c>
      <x:c r="G194" t="str">
        <x:v>pro</x:v>
      </x:c>
      <x:c r="H194" t="str">
        <x:v>gpt-5</x:v>
      </x:c>
      <x:c r="I194" t="str">
        <x:v>tool_agent</x:v>
      </x:c>
      <x:c r="J194" t="str">
        <x:v>success</x:v>
      </x:c>
      <x:c r="K194" t="n">
        <x:v>1913</x:v>
      </x:c>
      <x:c r="L194" t="n">
        <x:v>558</x:v>
      </x:c>
      <x:c r="M194" t="n">
        <x:v>1099</x:v>
      </x:c>
      <x:c r="N194" t="n">
        <x:v>246</x:v>
      </x:c>
      <x:c r="O194" t="n">
        <x:f>M194+N194</x:f>
        <x:v>1345</x:v>
      </x:c>
      <x:c r="P194" s="14" t="n">
        <x:f>M194/1000000*VLOOKUP(H194,'Model Rates'!$A$2:$C$5,2,FALSE)+N194/1000000*VLOOKUP(H194,'Model Rates'!$A$2:$C$5,3,FALSE)</x:f>
        <x:v>0.0038337500000000004</x:v>
      </x:c>
      <x:c r="Q194" t="str">
        <x:v>v1.9</x:v>
      </x:c>
      <x:c r="R194" t="n">
        <x:v>0</x:v>
      </x:c>
      <x:c r="S194" s="1" t="b">
        <x:v>1</x:v>
      </x:c>
      <x:c r="T194" t="str">
        <x:v>pass</x:v>
      </x:c>
      <x:c r="U194" s="16" t="n">
        <x:v>0.156</x:v>
      </x:c>
      <x:c r="V194" s="16" t="n">
        <x:v>0.793</x:v>
      </x:c>
      <x:c r="W194" s="16" t="n">
        <x:v>0.728</x:v>
      </x:c>
      <x:c r="X194" t="str">
        <x:v>positive</x:v>
      </x:c>
      <x:c r="Y194" t="str"/>
    </x:row>
    <x:row r="195">
      <x:c r="A195" s="12" t="n">
        <x:v>46243.65876157407</x:v>
      </x:c>
      <x:c r="B195" t="str">
        <x:v>tr_8c141de8e56c</x:v>
      </x:c>
      <x:c r="C195" t="str">
        <x:v>sp_f5c70e3524</x:v>
      </x:c>
      <x:c r="D195" t="str">
        <x:v>req_0e2d8e95a5dd</x:v>
      </x:c>
      <x:c r="E195" t="str">
        <x:v>search-assistant</x:v>
      </x:c>
      <x:c r="F195" t="str">
        <x:v>prod</x:v>
      </x:c>
      <x:c r="G195" t="str">
        <x:v>enterprise</x:v>
      </x:c>
      <x:c r="H195" t="str">
        <x:v>gpt-5</x:v>
      </x:c>
      <x:c r="I195" t="str">
        <x:v>retrieval_answer</x:v>
      </x:c>
      <x:c r="J195" t="str">
        <x:v>success</x:v>
      </x:c>
      <x:c r="K195" t="n">
        <x:v>1926</x:v>
      </x:c>
      <x:c r="L195" t="n">
        <x:v>290</x:v>
      </x:c>
      <x:c r="M195" t="n">
        <x:v>789</x:v>
      </x:c>
      <x:c r="N195" t="n">
        <x:v>101</x:v>
      </x:c>
      <x:c r="O195" t="n">
        <x:f>M195+N195</x:f>
        <x:v>890</x:v>
      </x:c>
      <x:c r="P195" s="14" t="n">
        <x:f>M195/1000000*VLOOKUP(H195,'Model Rates'!$A$2:$C$5,2,FALSE)+N195/1000000*VLOOKUP(H195,'Model Rates'!$A$2:$C$5,3,FALSE)</x:f>
        <x:v>0.0019962499999999998</x:v>
      </x:c>
      <x:c r="Q195" t="str">
        <x:v>v1.8</x:v>
      </x:c>
      <x:c r="R195" t="n">
        <x:v>0</x:v>
      </x:c>
      <x:c r="S195" s="1" t="b">
        <x:v>0</x:v>
      </x:c>
      <x:c r="T195" t="str">
        <x:v>review</x:v>
      </x:c>
      <x:c r="U195" s="16" t="n">
        <x:v>0.039</x:v>
      </x:c>
      <x:c r="V195" s="16" t="n">
        <x:v>0.903</x:v>
      </x:c>
      <x:c r="W195" s="16" t="n">
        <x:v>0.691</x:v>
      </x:c>
      <x:c r="X195" t="str">
        <x:v>positive</x:v>
      </x:c>
      <x:c r="Y195" t="str"/>
    </x:row>
    <x:row r="196">
      <x:c r="A196" s="12" t="n">
        <x:v>46243.66175925926</x:v>
      </x:c>
      <x:c r="B196" t="str">
        <x:v>tr_eb687144f3d2</x:v>
      </x:c>
      <x:c r="C196" t="str">
        <x:v>sp_e476f22bb0</x:v>
      </x:c>
      <x:c r="D196" t="str">
        <x:v>req_6848f53b56f6</x:v>
      </x:c>
      <x:c r="E196" t="str">
        <x:v>support-copilot</x:v>
      </x:c>
      <x:c r="F196" t="str">
        <x:v>prod</x:v>
      </x:c>
      <x:c r="G196" t="str">
        <x:v>pro</x:v>
      </x:c>
      <x:c r="H196" t="str">
        <x:v>gpt-5-mini</x:v>
      </x:c>
      <x:c r="I196" t="str">
        <x:v>retrieval_answer</x:v>
      </x:c>
      <x:c r="J196" t="str">
        <x:v>success</x:v>
      </x:c>
      <x:c r="K196" t="n">
        <x:v>1403</x:v>
      </x:c>
      <x:c r="L196" t="n">
        <x:v>266</x:v>
      </x:c>
      <x:c r="M196" t="n">
        <x:v>1303</x:v>
      </x:c>
      <x:c r="N196" t="n">
        <x:v>113</x:v>
      </x:c>
      <x:c r="O196" t="n">
        <x:f>M196+N196</x:f>
        <x:v>1416</x:v>
      </x:c>
      <x:c r="P196" s="14" t="n">
        <x:f>M196/1000000*VLOOKUP(H196,'Model Rates'!$A$2:$C$5,2,FALSE)+N196/1000000*VLOOKUP(H196,'Model Rates'!$A$2:$C$5,3,FALSE)</x:f>
        <x:v>0.0007019999999999999</x:v>
      </x:c>
      <x:c r="Q196" t="str">
        <x:v>v1.9</x:v>
      </x:c>
      <x:c r="R196" t="n">
        <x:v>1</x:v>
      </x:c>
      <x:c r="S196" s="1" t="b">
        <x:v>0</x:v>
      </x:c>
      <x:c r="T196" t="str">
        <x:v>pass</x:v>
      </x:c>
      <x:c r="U196" s="16" t="n">
        <x:v>0.108</x:v>
      </x:c>
      <x:c r="V196" s="16" t="n">
        <x:v>0.881</x:v>
      </x:c>
      <x:c r="W196" s="16" t="n">
        <x:v>0.758</x:v>
      </x:c>
      <x:c r="X196" t="str">
        <x:v>positive</x:v>
      </x:c>
      <x:c r="Y196" t="str"/>
    </x:row>
    <x:row r="197">
      <x:c r="A197" s="12" t="n">
        <x:v>46243.66395833333</x:v>
      </x:c>
      <x:c r="B197" t="str">
        <x:v>tr_3023373abfde</x:v>
      </x:c>
      <x:c r="C197" t="str">
        <x:v>sp_b0bf300981</x:v>
      </x:c>
      <x:c r="D197" t="str">
        <x:v>req_6fb8c9fd8b35</x:v>
      </x:c>
      <x:c r="E197" t="str">
        <x:v>doc-summarizer</x:v>
      </x:c>
      <x:c r="F197" t="str">
        <x:v>prod</x:v>
      </x:c>
      <x:c r="G197" t="str">
        <x:v>free</x:v>
      </x:c>
      <x:c r="H197" t="str">
        <x:v>gpt-5-mini</x:v>
      </x:c>
      <x:c r="I197" t="str">
        <x:v>retrieval_answer</x:v>
      </x:c>
      <x:c r="J197" t="str">
        <x:v>success</x:v>
      </x:c>
      <x:c r="K197" t="n">
        <x:v>1073</x:v>
      </x:c>
      <x:c r="L197" t="n">
        <x:v>80</x:v>
      </x:c>
      <x:c r="M197" t="n">
        <x:v>1425</x:v>
      </x:c>
      <x:c r="N197" t="n">
        <x:v>368</x:v>
      </x:c>
      <x:c r="O197" t="n">
        <x:f>M197+N197</x:f>
        <x:v>1793</x:v>
      </x:c>
      <x:c r="P197" s="14" t="n">
        <x:f>M197/1000000*VLOOKUP(H197,'Model Rates'!$A$2:$C$5,2,FALSE)+N197/1000000*VLOOKUP(H197,'Model Rates'!$A$2:$C$5,3,FALSE)</x:f>
        <x:v>0.0011588000000000002</x:v>
      </x:c>
      <x:c r="Q197" t="str">
        <x:v>v2.0</x:v>
      </x:c>
      <x:c r="R197" t="n">
        <x:v>0</x:v>
      </x:c>
      <x:c r="S197" s="1" t="b">
        <x:v>0</x:v>
      </x:c>
      <x:c r="T197" t="str">
        <x:v>blocked</x:v>
      </x:c>
      <x:c r="U197" s="16" t="n">
        <x:v>0.025</x:v>
      </x:c>
      <x:c r="V197" s="16" t="n">
        <x:v>1</x:v>
      </x:c>
      <x:c r="W197" s="16" t="n">
        <x:v>0.756</x:v>
      </x:c>
      <x:c r="X197" t="str">
        <x:v>negative</x:v>
      </x:c>
      <x:c r="Y197" t="str"/>
    </x:row>
    <x:row r="198">
      <x:c r="A198" s="12" t="n">
        <x:v>46243.66469907408</x:v>
      </x:c>
      <x:c r="B198" t="str">
        <x:v>tr_f090840a3990</x:v>
      </x:c>
      <x:c r="C198" t="str">
        <x:v>sp_7e788958c9</x:v>
      </x:c>
      <x:c r="D198" t="str">
        <x:v>req_273a51cc978f</x:v>
      </x:c>
      <x:c r="E198" t="str">
        <x:v>agent-workflow</x:v>
      </x:c>
      <x:c r="F198" t="str">
        <x:v>prod</x:v>
      </x:c>
      <x:c r="G198" t="str">
        <x:v>pro</x:v>
      </x:c>
      <x:c r="H198" t="str">
        <x:v>gpt-5-mini</x:v>
      </x:c>
      <x:c r="I198" t="str">
        <x:v>tool_agent</x:v>
      </x:c>
      <x:c r="J198" t="str">
        <x:v>success</x:v>
      </x:c>
      <x:c r="K198" t="n">
        <x:v>1484</x:v>
      </x:c>
      <x:c r="L198" t="n">
        <x:v>249</x:v>
      </x:c>
      <x:c r="M198" t="n">
        <x:v>869</x:v>
      </x:c>
      <x:c r="N198" t="n">
        <x:v>499</x:v>
      </x:c>
      <x:c r="O198" t="n">
        <x:f>M198+N198</x:f>
        <x:v>1368</x:v>
      </x:c>
      <x:c r="P198" s="14" t="n">
        <x:f>M198/1000000*VLOOKUP(H198,'Model Rates'!$A$2:$C$5,2,FALSE)+N198/1000000*VLOOKUP(H198,'Model Rates'!$A$2:$C$5,3,FALSE)</x:f>
        <x:v>0.0011459999999999999</x:v>
      </x:c>
      <x:c r="Q198" t="str">
        <x:v>v2.0</x:v>
      </x:c>
      <x:c r="R198" t="n">
        <x:v>0</x:v>
      </x:c>
      <x:c r="S198" s="1" t="b">
        <x:v>0</x:v>
      </x:c>
      <x:c r="T198" t="str">
        <x:v>blocked</x:v>
      </x:c>
      <x:c r="U198" s="16" t="n">
        <x:v>0.183</x:v>
      </x:c>
      <x:c r="V198" s="16" t="n">
        <x:v>0.797</x:v>
      </x:c>
      <x:c r="W198" s="16" t="n">
        <x:v>0.794</x:v>
      </x:c>
      <x:c r="X198" t="str">
        <x:v>positive</x:v>
      </x:c>
      <x:c r="Y198" t="str"/>
    </x:row>
    <x:row r="199">
      <x:c r="A199" s="12" t="n">
        <x:v>46243.66688657407</x:v>
      </x:c>
      <x:c r="B199" t="str">
        <x:v>tr_b0007c2ea541</x:v>
      </x:c>
      <x:c r="C199" t="str">
        <x:v>sp_72977c16b0</x:v>
      </x:c>
      <x:c r="D199" t="str">
        <x:v>req_5827c2e67966</x:v>
      </x:c>
      <x:c r="E199" t="str">
        <x:v>agent-workflow</x:v>
      </x:c>
      <x:c r="F199" t="str">
        <x:v>prod</x:v>
      </x:c>
      <x:c r="G199" t="str">
        <x:v>pro</x:v>
      </x:c>
      <x:c r="H199" t="str">
        <x:v>gpt-5-mini</x:v>
      </x:c>
      <x:c r="I199" t="str">
        <x:v>summarization</x:v>
      </x:c>
      <x:c r="J199" t="str">
        <x:v>success</x:v>
      </x:c>
      <x:c r="K199" t="n">
        <x:v>824</x:v>
      </x:c>
      <x:c r="L199" t="n">
        <x:v>234</x:v>
      </x:c>
      <x:c r="M199" t="n">
        <x:v>1554</x:v>
      </x:c>
      <x:c r="N199" t="n">
        <x:v>525</x:v>
      </x:c>
      <x:c r="O199" t="n">
        <x:f>M199+N199</x:f>
        <x:v>2079</x:v>
      </x:c>
      <x:c r="P199" s="14" t="n">
        <x:f>M199/1000000*VLOOKUP(H199,'Model Rates'!$A$2:$C$5,2,FALSE)+N199/1000000*VLOOKUP(H199,'Model Rates'!$A$2:$C$5,3,FALSE)</x:f>
        <x:v>0.0014616</x:v>
      </x:c>
      <x:c r="Q199" t="str">
        <x:v>v2.0</x:v>
      </x:c>
      <x:c r="R199" t="n">
        <x:v>0</x:v>
      </x:c>
      <x:c r="S199" s="1" t="b">
        <x:v>0</x:v>
      </x:c>
      <x:c r="T199" t="str">
        <x:v>pass</x:v>
      </x:c>
      <x:c r="U199" s="16" t="n">
        <x:v>0.128</x:v>
      </x:c>
      <x:c r="V199" s="16" t="n">
        <x:v>0.893</x:v>
      </x:c>
      <x:c r="W199" s="16" t="n">
        <x:v>0.943</x:v>
      </x:c>
      <x:c r="X199" t="str">
        <x:v>negative</x:v>
      </x:c>
      <x:c r="Y199" t="str"/>
    </x:row>
    <x:row r="200">
      <x:c r="A200" s="12" t="n">
        <x:v>46243.667766203704</x:v>
      </x:c>
      <x:c r="B200" t="str">
        <x:v>tr_b6766a2995df</x:v>
      </x:c>
      <x:c r="C200" t="str">
        <x:v>sp_b043463316</x:v>
      </x:c>
      <x:c r="D200" t="str">
        <x:v>req_ee53f4599ac8</x:v>
      </x:c>
      <x:c r="E200" t="str">
        <x:v>search-assistant</x:v>
      </x:c>
      <x:c r="F200" t="str">
        <x:v>prod</x:v>
      </x:c>
      <x:c r="G200" t="str">
        <x:v>pro</x:v>
      </x:c>
      <x:c r="H200" t="str">
        <x:v>claude-sonnet</x:v>
      </x:c>
      <x:c r="I200" t="str">
        <x:v>summarization</x:v>
      </x:c>
      <x:c r="J200" t="str">
        <x:v>success</x:v>
      </x:c>
      <x:c r="K200" t="n">
        <x:v>1711</x:v>
      </x:c>
      <x:c r="L200" t="n">
        <x:v>322</x:v>
      </x:c>
      <x:c r="M200" t="n">
        <x:v>482</x:v>
      </x:c>
      <x:c r="N200" t="n">
        <x:v>243</x:v>
      </x:c>
      <x:c r="O200" t="n">
        <x:f>M200+N200</x:f>
        <x:v>725</x:v>
      </x:c>
      <x:c r="P200" s="14" t="n">
        <x:f>M200/1000000*VLOOKUP(H200,'Model Rates'!$A$2:$C$5,2,FALSE)+N200/1000000*VLOOKUP(H200,'Model Rates'!$A$2:$C$5,3,FALSE)</x:f>
        <x:v>0.005091</x:v>
      </x:c>
      <x:c r="Q200" t="str">
        <x:v>v1.9</x:v>
      </x:c>
      <x:c r="R200" t="n">
        <x:v>0</x:v>
      </x:c>
      <x:c r="S200" s="1" t="b">
        <x:v>0</x:v>
      </x:c>
      <x:c r="T200" t="str">
        <x:v>pass</x:v>
      </x:c>
      <x:c r="U200" s="16" t="n">
        <x:v>0.087</x:v>
      </x:c>
      <x:c r="V200" s="16" t="n">
        <x:v>0.85</x:v>
      </x:c>
      <x:c r="W200" s="16" t="n">
        <x:v>0.87</x:v>
      </x:c>
      <x:c r="X200" t="str">
        <x:v>none</x:v>
      </x:c>
      <x:c r="Y200" t="str"/>
    </x:row>
    <x:row r="201">
      <x:c r="A201" s="12" t="n">
        <x:v>46243.67084490741</x:v>
      </x:c>
      <x:c r="B201" t="str">
        <x:v>tr_616bb8095514</x:v>
      </x:c>
      <x:c r="C201" t="str">
        <x:v>sp_805e1c40a0</x:v>
      </x:c>
      <x:c r="D201" t="str">
        <x:v>req_6dcc3851508f</x:v>
      </x:c>
      <x:c r="E201" t="str">
        <x:v>agent-workflow</x:v>
      </x:c>
      <x:c r="F201" t="str">
        <x:v>prod</x:v>
      </x:c>
      <x:c r="G201" t="str">
        <x:v>enterprise</x:v>
      </x:c>
      <x:c r="H201" t="str">
        <x:v>gpt-5</x:v>
      </x:c>
      <x:c r="I201" t="str">
        <x:v>tool_agent</x:v>
      </x:c>
      <x:c r="J201" t="str">
        <x:v>success</x:v>
      </x:c>
      <x:c r="K201" t="n">
        <x:v>2311</x:v>
      </x:c>
      <x:c r="L201" t="n">
        <x:v>369</x:v>
      </x:c>
      <x:c r="M201" t="n">
        <x:v>1128</x:v>
      </x:c>
      <x:c r="N201" t="n">
        <x:v>329</x:v>
      </x:c>
      <x:c r="O201" t="n">
        <x:f>M201+N201</x:f>
        <x:v>1457</x:v>
      </x:c>
      <x:c r="P201" s="14" t="n">
        <x:f>M201/1000000*VLOOKUP(H201,'Model Rates'!$A$2:$C$5,2,FALSE)+N201/1000000*VLOOKUP(H201,'Model Rates'!$A$2:$C$5,3,FALSE)</x:f>
        <x:v>0.004699999999999999</x:v>
      </x:c>
      <x:c r="Q201" t="str">
        <x:v>v1.9</x:v>
      </x:c>
      <x:c r="R201" t="n">
        <x:v>1</x:v>
      </x:c>
      <x:c r="S201" s="1" t="b">
        <x:v>0</x:v>
      </x:c>
      <x:c r="T201" t="str">
        <x:v>pass</x:v>
      </x:c>
      <x:c r="U201" s="16" t="n">
        <x:v>0.089</x:v>
      </x:c>
      <x:c r="V201" s="16" t="n">
        <x:v>0.865</x:v>
      </x:c>
      <x:c r="W201" s="16" t="n">
        <x:v>1</x:v>
      </x:c>
      <x:c r="X201" t="str">
        <x:v>positive</x:v>
      </x:c>
      <x:c r="Y201" t="str"/>
    </x:row>
    <x:row r="202">
      <x:c r="A202" s="12" t="n">
        <x:v>46243.67136574074</x:v>
      </x:c>
      <x:c r="B202" t="str">
        <x:v>tr_3b64b53370c1</x:v>
      </x:c>
      <x:c r="C202" t="str">
        <x:v>sp_20082734c4</x:v>
      </x:c>
      <x:c r="D202" t="str">
        <x:v>req_59ac2da6c69c</x:v>
      </x:c>
      <x:c r="E202" t="str">
        <x:v>support-copilot</x:v>
      </x:c>
      <x:c r="F202" t="str">
        <x:v>prod</x:v>
      </x:c>
      <x:c r="G202" t="str">
        <x:v>pro</x:v>
      </x:c>
      <x:c r="H202" t="str">
        <x:v>gpt-5</x:v>
      </x:c>
      <x:c r="I202" t="str">
        <x:v>summarization</x:v>
      </x:c>
      <x:c r="J202" t="str">
        <x:v>success</x:v>
      </x:c>
      <x:c r="K202" t="n">
        <x:v>1198</x:v>
      </x:c>
      <x:c r="L202" t="n">
        <x:v>358</x:v>
      </x:c>
      <x:c r="M202" t="n">
        <x:v>1445</x:v>
      </x:c>
      <x:c r="N202" t="n">
        <x:v>236</x:v>
      </x:c>
      <x:c r="O202" t="n">
        <x:f>M202+N202</x:f>
        <x:v>1681</x:v>
      </x:c>
      <x:c r="P202" s="14" t="n">
        <x:f>M202/1000000*VLOOKUP(H202,'Model Rates'!$A$2:$C$5,2,FALSE)+N202/1000000*VLOOKUP(H202,'Model Rates'!$A$2:$C$5,3,FALSE)</x:f>
        <x:v>0.00416625</x:v>
      </x:c>
      <x:c r="Q202" t="str">
        <x:v>v1.9</x:v>
      </x:c>
      <x:c r="R202" t="n">
        <x:v>0</x:v>
      </x:c>
      <x:c r="S202" s="1" t="b">
        <x:v>0</x:v>
      </x:c>
      <x:c r="T202" t="str">
        <x:v>review</x:v>
      </x:c>
      <x:c r="U202" s="16" t="n">
        <x:v>0.131</x:v>
      </x:c>
      <x:c r="V202" s="16" t="n">
        <x:v>0.808</x:v>
      </x:c>
      <x:c r="W202" s="16" t="n">
        <x:v>0.805</x:v>
      </x:c>
      <x:c r="X202" t="str">
        <x:v>negative</x:v>
      </x:c>
      <x:c r="Y202" t="str"/>
    </x:row>
    <x:row r="203">
      <x:c r="A203" s="12" t="n">
        <x:v>46243.67697916667</x:v>
      </x:c>
      <x:c r="B203" t="str">
        <x:v>tr_e8b2743080cf</x:v>
      </x:c>
      <x:c r="C203" t="str">
        <x:v>sp_f47fe29f2b</x:v>
      </x:c>
      <x:c r="D203" t="str">
        <x:v>req_c7081b629aad</x:v>
      </x:c>
      <x:c r="E203" t="str">
        <x:v>search-assistant</x:v>
      </x:c>
      <x:c r="F203" t="str">
        <x:v>prod</x:v>
      </x:c>
      <x:c r="G203" t="str">
        <x:v>free</x:v>
      </x:c>
      <x:c r="H203" t="str">
        <x:v>gpt-5-mini</x:v>
      </x:c>
      <x:c r="I203" t="str">
        <x:v>tool_agent</x:v>
      </x:c>
      <x:c r="J203" t="str">
        <x:v>success</x:v>
      </x:c>
      <x:c r="K203" t="n">
        <x:v>674</x:v>
      </x:c>
      <x:c r="L203" t="n">
        <x:v>261</x:v>
      </x:c>
      <x:c r="M203" t="n">
        <x:v>893</x:v>
      </x:c>
      <x:c r="N203" t="n">
        <x:v>317</x:v>
      </x:c>
      <x:c r="O203" t="n">
        <x:f>M203+N203</x:f>
        <x:v>1210</x:v>
      </x:c>
      <x:c r="P203" s="14" t="n">
        <x:f>M203/1000000*VLOOKUP(H203,'Model Rates'!$A$2:$C$5,2,FALSE)+N203/1000000*VLOOKUP(H203,'Model Rates'!$A$2:$C$5,3,FALSE)</x:f>
        <x:v>0.0008644000000000001</x:v>
      </x:c>
      <x:c r="Q203" t="str">
        <x:v>v1.8</x:v>
      </x:c>
      <x:c r="R203" t="n">
        <x:v>0</x:v>
      </x:c>
      <x:c r="S203" s="1" t="b">
        <x:v>0</x:v>
      </x:c>
      <x:c r="T203" t="str">
        <x:v>pass</x:v>
      </x:c>
      <x:c r="U203" s="16" t="n">
        <x:v>0.015</x:v>
      </x:c>
      <x:c r="V203" s="16" t="n">
        <x:v>0.904</x:v>
      </x:c>
      <x:c r="W203" s="16" t="n">
        <x:v>0.998</x:v>
      </x:c>
      <x:c r="X203" t="str">
        <x:v>none</x:v>
      </x:c>
      <x:c r="Y203" t="str"/>
    </x:row>
    <x:row r="204">
      <x:c r="A204" s="12" t="n">
        <x:v>46243.67835648148</x:v>
      </x:c>
      <x:c r="B204" t="str">
        <x:v>tr_8bb8d9a0fafd</x:v>
      </x:c>
      <x:c r="C204" t="str">
        <x:v>sp_708bb2cb94</x:v>
      </x:c>
      <x:c r="D204" t="str">
        <x:v>req_fa1864eaa0cd</x:v>
      </x:c>
      <x:c r="E204" t="str">
        <x:v>doc-summarizer</x:v>
      </x:c>
      <x:c r="F204" t="str">
        <x:v>prod</x:v>
      </x:c>
      <x:c r="G204" t="str">
        <x:v>pro</x:v>
      </x:c>
      <x:c r="H204" t="str">
        <x:v>gpt-5-mini</x:v>
      </x:c>
      <x:c r="I204" t="str">
        <x:v>summarization</x:v>
      </x:c>
      <x:c r="J204" t="str">
        <x:v>success</x:v>
      </x:c>
      <x:c r="K204" t="n">
        <x:v>635</x:v>
      </x:c>
      <x:c r="L204" t="n">
        <x:v>180</x:v>
      </x:c>
      <x:c r="M204" t="n">
        <x:v>1137</x:v>
      </x:c>
      <x:c r="N204" t="n">
        <x:v>155</x:v>
      </x:c>
      <x:c r="O204" t="n">
        <x:f>M204+N204</x:f>
        <x:v>1292</x:v>
      </x:c>
      <x:c r="P204" s="14" t="n">
        <x:f>M204/1000000*VLOOKUP(H204,'Model Rates'!$A$2:$C$5,2,FALSE)+N204/1000000*VLOOKUP(H204,'Model Rates'!$A$2:$C$5,3,FALSE)</x:f>
        <x:v>0.0007028</x:v>
      </x:c>
      <x:c r="Q204" t="str">
        <x:v>v1.9</x:v>
      </x:c>
      <x:c r="R204" t="n">
        <x:v>0</x:v>
      </x:c>
      <x:c r="S204" s="1" t="b">
        <x:v>0</x:v>
      </x:c>
      <x:c r="T204" t="str">
        <x:v>pass</x:v>
      </x:c>
      <x:c r="U204" s="16" t="n">
        <x:v>0.038</x:v>
      </x:c>
      <x:c r="V204" s="16" t="n">
        <x:v>0.817</x:v>
      </x:c>
      <x:c r="W204" s="16" t="n">
        <x:v>0.954</x:v>
      </x:c>
      <x:c r="X204" t="str">
        <x:v>positive</x:v>
      </x:c>
      <x:c r="Y204" t="str"/>
    </x:row>
    <x:row r="205">
      <x:c r="A205" s="12" t="n">
        <x:v>46243.68099537037</x:v>
      </x:c>
      <x:c r="B205" t="str">
        <x:v>tr_7dd7cff463c4</x:v>
      </x:c>
      <x:c r="C205" t="str">
        <x:v>sp_2f13fd558e</x:v>
      </x:c>
      <x:c r="D205" t="str">
        <x:v>req_5ea4b422cd1b</x:v>
      </x:c>
      <x:c r="E205" t="str">
        <x:v>doc-summarizer</x:v>
      </x:c>
      <x:c r="F205" t="str">
        <x:v>prod</x:v>
      </x:c>
      <x:c r="G205" t="str">
        <x:v>pro</x:v>
      </x:c>
      <x:c r="H205" t="str">
        <x:v>gpt-5</x:v>
      </x:c>
      <x:c r="I205" t="str">
        <x:v>tool_agent</x:v>
      </x:c>
      <x:c r="J205" t="str">
        <x:v>success</x:v>
      </x:c>
      <x:c r="K205" t="n">
        <x:v>1867</x:v>
      </x:c>
      <x:c r="L205" t="n">
        <x:v>560</x:v>
      </x:c>
      <x:c r="M205" t="n">
        <x:v>800</x:v>
      </x:c>
      <x:c r="N205" t="n">
        <x:v>477</x:v>
      </x:c>
      <x:c r="O205" t="n">
        <x:f>M205+N205</x:f>
        <x:v>1277</x:v>
      </x:c>
      <x:c r="P205" s="14" t="n">
        <x:f>M205/1000000*VLOOKUP(H205,'Model Rates'!$A$2:$C$5,2,FALSE)+N205/1000000*VLOOKUP(H205,'Model Rates'!$A$2:$C$5,3,FALSE)</x:f>
        <x:v>0.00577</x:v>
      </x:c>
      <x:c r="Q205" t="str">
        <x:v>v1.8</x:v>
      </x:c>
      <x:c r="R205" t="n">
        <x:v>1</x:v>
      </x:c>
      <x:c r="S205" s="1" t="b">
        <x:v>0</x:v>
      </x:c>
      <x:c r="T205" t="str">
        <x:v>pass</x:v>
      </x:c>
      <x:c r="U205" s="16" t="n">
        <x:v>0.056</x:v>
      </x:c>
      <x:c r="V205" s="16" t="n">
        <x:v>0.945</x:v>
      </x:c>
      <x:c r="W205" s="16" t="n">
        <x:v>0.882</x:v>
      </x:c>
      <x:c r="X205" t="str">
        <x:v>none</x:v>
      </x:c>
      <x:c r="Y205" t="str"/>
    </x:row>
    <x:row r="206">
      <x:c r="A206" s="12" t="n">
        <x:v>46243.68491898148</x:v>
      </x:c>
      <x:c r="B206" t="str">
        <x:v>tr_b20666183357</x:v>
      </x:c>
      <x:c r="C206" t="str">
        <x:v>sp_9148676bb0</x:v>
      </x:c>
      <x:c r="D206" t="str">
        <x:v>req_274dd59b43ae</x:v>
      </x:c>
      <x:c r="E206" t="str">
        <x:v>search-assistant</x:v>
      </x:c>
      <x:c r="F206" t="str">
        <x:v>prod</x:v>
      </x:c>
      <x:c r="G206" t="str">
        <x:v>free</x:v>
      </x:c>
      <x:c r="H206" t="str">
        <x:v>gpt-5-mini</x:v>
      </x:c>
      <x:c r="I206" t="str">
        <x:v>tool_agent</x:v>
      </x:c>
      <x:c r="J206" t="str">
        <x:v>success</x:v>
      </x:c>
      <x:c r="K206" t="n">
        <x:v>1185</x:v>
      </x:c>
      <x:c r="L206" t="n">
        <x:v>193</x:v>
      </x:c>
      <x:c r="M206" t="n">
        <x:v>986</x:v>
      </x:c>
      <x:c r="N206" t="n">
        <x:v>320</x:v>
      </x:c>
      <x:c r="O206" t="n">
        <x:f>M206+N206</x:f>
        <x:v>1306</x:v>
      </x:c>
      <x:c r="P206" s="14" t="n">
        <x:f>M206/1000000*VLOOKUP(H206,'Model Rates'!$A$2:$C$5,2,FALSE)+N206/1000000*VLOOKUP(H206,'Model Rates'!$A$2:$C$5,3,FALSE)</x:f>
        <x:v>0.0009064000000000001</x:v>
      </x:c>
      <x:c r="Q206" t="str">
        <x:v>v2.0</x:v>
      </x:c>
      <x:c r="R206" t="n">
        <x:v>0</x:v>
      </x:c>
      <x:c r="S206" s="1" t="b">
        <x:v>1</x:v>
      </x:c>
      <x:c r="T206" t="str">
        <x:v>pass</x:v>
      </x:c>
      <x:c r="U206" s="16" t="n">
        <x:v>0.116</x:v>
      </x:c>
      <x:c r="V206" s="16" t="n">
        <x:v>0.995</x:v>
      </x:c>
      <x:c r="W206" s="16" t="n">
        <x:v>0.873</x:v>
      </x:c>
      <x:c r="X206" t="str">
        <x:v>none</x:v>
      </x:c>
      <x:c r="Y206" t="str"/>
    </x:row>
    <x:row r="207">
      <x:c r="A207" s="12" t="n">
        <x:v>46243.69076388889</x:v>
      </x:c>
      <x:c r="B207" t="str">
        <x:v>tr_04a594f9f6b3</x:v>
      </x:c>
      <x:c r="C207" t="str">
        <x:v>sp_d0d7963a4d</x:v>
      </x:c>
      <x:c r="D207" t="str">
        <x:v>req_4e7db2b3a5e6</x:v>
      </x:c>
      <x:c r="E207" t="str">
        <x:v>search-assistant</x:v>
      </x:c>
      <x:c r="F207" t="str">
        <x:v>staging</x:v>
      </x:c>
      <x:c r="G207" t="str">
        <x:v>free</x:v>
      </x:c>
      <x:c r="H207" t="str">
        <x:v>gemini-pro</x:v>
      </x:c>
      <x:c r="I207" t="str">
        <x:v>retrieval_answer</x:v>
      </x:c>
      <x:c r="J207" t="str">
        <x:v>success</x:v>
      </x:c>
      <x:c r="K207" t="n">
        <x:v>1606</x:v>
      </x:c>
      <x:c r="L207" t="n">
        <x:v>80</x:v>
      </x:c>
      <x:c r="M207" t="n">
        <x:v>265</x:v>
      </x:c>
      <x:c r="N207" t="n">
        <x:v>725</x:v>
      </x:c>
      <x:c r="O207" t="n">
        <x:f>M207+N207</x:f>
        <x:v>990</x:v>
      </x:c>
      <x:c r="P207" s="14" t="n">
        <x:f>M207/1000000*VLOOKUP(H207,'Model Rates'!$A$2:$C$5,2,FALSE)+N207/1000000*VLOOKUP(H207,'Model Rates'!$A$2:$C$5,3,FALSE)</x:f>
        <x:v>0.00395625</x:v>
      </x:c>
      <x:c r="Q207" t="str">
        <x:v>v1.8</x:v>
      </x:c>
      <x:c r="R207" t="n">
        <x:v>0</x:v>
      </x:c>
      <x:c r="S207" s="1" t="b">
        <x:v>0</x:v>
      </x:c>
      <x:c r="T207" t="str">
        <x:v>pass</x:v>
      </x:c>
      <x:c r="U207" s="16" t="n">
        <x:v>0.064</x:v>
      </x:c>
      <x:c r="V207" s="16" t="n">
        <x:v>1</x:v>
      </x:c>
      <x:c r="W207" s="16" t="n">
        <x:v>1</x:v>
      </x:c>
      <x:c r="X207" t="str">
        <x:v>none</x:v>
      </x:c>
      <x:c r="Y207" t="str"/>
    </x:row>
    <x:row r="208">
      <x:c r="A208" s="12" t="n">
        <x:v>46243.694861111115</x:v>
      </x:c>
      <x:c r="B208" t="str">
        <x:v>tr_f9921d086f05</x:v>
      </x:c>
      <x:c r="C208" t="str">
        <x:v>sp_d6ed1bc3c4</x:v>
      </x:c>
      <x:c r="D208" t="str">
        <x:v>req_4dbddbb52104</x:v>
      </x:c>
      <x:c r="E208" t="str">
        <x:v>support-copilot</x:v>
      </x:c>
      <x:c r="F208" t="str">
        <x:v>prod</x:v>
      </x:c>
      <x:c r="G208" t="str">
        <x:v>pro</x:v>
      </x:c>
      <x:c r="H208" t="str">
        <x:v>gpt-5</x:v>
      </x:c>
      <x:c r="I208" t="str">
        <x:v>retrieval_answer</x:v>
      </x:c>
      <x:c r="J208" t="str">
        <x:v>success</x:v>
      </x:c>
      <x:c r="K208" t="n">
        <x:v>1769</x:v>
      </x:c>
      <x:c r="L208" t="n">
        <x:v>467</x:v>
      </x:c>
      <x:c r="M208" t="n">
        <x:v>826</x:v>
      </x:c>
      <x:c r="N208" t="n">
        <x:v>372</x:v>
      </x:c>
      <x:c r="O208" t="n">
        <x:f>M208+N208</x:f>
        <x:v>1198</x:v>
      </x:c>
      <x:c r="P208" s="14" t="n">
        <x:f>M208/1000000*VLOOKUP(H208,'Model Rates'!$A$2:$C$5,2,FALSE)+N208/1000000*VLOOKUP(H208,'Model Rates'!$A$2:$C$5,3,FALSE)</x:f>
        <x:v>0.0047525</x:v>
      </x:c>
      <x:c r="Q208" t="str">
        <x:v>v2.0</x:v>
      </x:c>
      <x:c r="R208" t="n">
        <x:v>2</x:v>
      </x:c>
      <x:c r="S208" s="1" t="b">
        <x:v>0</x:v>
      </x:c>
      <x:c r="T208" t="str">
        <x:v>review</x:v>
      </x:c>
      <x:c r="U208" s="16" t="n">
        <x:v>0.061</x:v>
      </x:c>
      <x:c r="V208" s="16" t="n">
        <x:v>0.938</x:v>
      </x:c>
      <x:c r="W208" s="16" t="n">
        <x:v>0.767</x:v>
      </x:c>
      <x:c r="X208" t="str">
        <x:v>none</x:v>
      </x:c>
      <x:c r="Y208" t="str"/>
    </x:row>
    <x:row r="209">
      <x:c r="A209" s="12" t="n">
        <x:v>46243.70431712963</x:v>
      </x:c>
      <x:c r="B209" t="str">
        <x:v>tr_34be65375195</x:v>
      </x:c>
      <x:c r="C209" t="str">
        <x:v>sp_9a114aa4a0</x:v>
      </x:c>
      <x:c r="D209" t="str">
        <x:v>req_fa7d7bdf53a2</x:v>
      </x:c>
      <x:c r="E209" t="str">
        <x:v>search-assistant</x:v>
      </x:c>
      <x:c r="F209" t="str">
        <x:v>prod</x:v>
      </x:c>
      <x:c r="G209" t="str">
        <x:v>enterprise</x:v>
      </x:c>
      <x:c r="H209" t="str">
        <x:v>gpt-5-mini</x:v>
      </x:c>
      <x:c r="I209" t="str">
        <x:v>summarization</x:v>
      </x:c>
      <x:c r="J209" t="str">
        <x:v>success</x:v>
      </x:c>
      <x:c r="K209" t="n">
        <x:v>1734</x:v>
      </x:c>
      <x:c r="L209" t="n">
        <x:v>147</x:v>
      </x:c>
      <x:c r="M209" t="n">
        <x:v>1413</x:v>
      </x:c>
      <x:c r="N209" t="n">
        <x:v>333</x:v>
      </x:c>
      <x:c r="O209" t="n">
        <x:f>M209+N209</x:f>
        <x:v>1746</x:v>
      </x:c>
      <x:c r="P209" s="14" t="n">
        <x:f>M209/1000000*VLOOKUP(H209,'Model Rates'!$A$2:$C$5,2,FALSE)+N209/1000000*VLOOKUP(H209,'Model Rates'!$A$2:$C$5,3,FALSE)</x:f>
        <x:v>0.001098</x:v>
      </x:c>
      <x:c r="Q209" t="str">
        <x:v>v1.9</x:v>
      </x:c>
      <x:c r="R209" t="n">
        <x:v>1</x:v>
      </x:c>
      <x:c r="S209" s="1" t="b">
        <x:v>1</x:v>
      </x:c>
      <x:c r="T209" t="str">
        <x:v>pass</x:v>
      </x:c>
      <x:c r="U209" s="16" t="n">
        <x:v>0.067</x:v>
      </x:c>
      <x:c r="V209" s="16" t="n">
        <x:v>1</x:v>
      </x:c>
      <x:c r="W209" s="16" t="n">
        <x:v>0.691</x:v>
      </x:c>
      <x:c r="X209" t="str">
        <x:v>negative</x:v>
      </x:c>
      <x:c r="Y209" t="str"/>
    </x:row>
    <x:row r="210">
      <x:c r="A210" s="12" t="n">
        <x:v>46243.70532407407</x:v>
      </x:c>
      <x:c r="B210" t="str">
        <x:v>tr_e7965d486a80</x:v>
      </x:c>
      <x:c r="C210" t="str">
        <x:v>sp_19e61ef6c9</x:v>
      </x:c>
      <x:c r="D210" t="str">
        <x:v>req_d34a2ee5e4bb</x:v>
      </x:c>
      <x:c r="E210" t="str">
        <x:v>support-copilot</x:v>
      </x:c>
      <x:c r="F210" t="str">
        <x:v>prod</x:v>
      </x:c>
      <x:c r="G210" t="str">
        <x:v>pro</x:v>
      </x:c>
      <x:c r="H210" t="str">
        <x:v>gpt-5</x:v>
      </x:c>
      <x:c r="I210" t="str">
        <x:v>chat_completion</x:v>
      </x:c>
      <x:c r="J210" t="str">
        <x:v>error</x:v>
      </x:c>
      <x:c r="K210" t="n">
        <x:v>2800</x:v>
      </x:c>
      <x:c r="L210" t="n">
        <x:v>574</x:v>
      </x:c>
      <x:c r="M210" t="n">
        <x:v>1357</x:v>
      </x:c>
      <x:c r="N210" t="n">
        <x:v>315</x:v>
      </x:c>
      <x:c r="O210" t="n">
        <x:f>M210+N210</x:f>
        <x:v>1672</x:v>
      </x:c>
      <x:c r="P210" s="14" t="n">
        <x:f>M210/1000000*VLOOKUP(H210,'Model Rates'!$A$2:$C$5,2,FALSE)+N210/1000000*VLOOKUP(H210,'Model Rates'!$A$2:$C$5,3,FALSE)</x:f>
        <x:v>0.00484625</x:v>
      </x:c>
      <x:c r="Q210" t="str">
        <x:v>v1.9</x:v>
      </x:c>
      <x:c r="R210" t="n">
        <x:v>2</x:v>
      </x:c>
      <x:c r="S210" s="1" t="b">
        <x:v>0</x:v>
      </x:c>
      <x:c r="T210" t="str">
        <x:v>pass</x:v>
      </x:c>
      <x:c r="U210" s="16" t="n">
        <x:v>0.305</x:v>
      </x:c>
      <x:c r="V210" s="16" t="n">
        <x:v>0.667</x:v>
      </x:c>
      <x:c r="W210" s="16" t="n">
        <x:v>0.354</x:v>
      </x:c>
      <x:c r="X210" t="str">
        <x:v>none</x:v>
      </x:c>
      <x:c r="Y210" t="str">
        <x:v>rate_limit</x:v>
      </x:c>
    </x:row>
    <x:row r="211">
      <x:c r="A211" s="12" t="n">
        <x:v>46243.71388888889</x:v>
      </x:c>
      <x:c r="B211" t="str">
        <x:v>tr_d4df01b07cba</x:v>
      </x:c>
      <x:c r="C211" t="str">
        <x:v>sp_04c024f5b9</x:v>
      </x:c>
      <x:c r="D211" t="str">
        <x:v>req_f8ad2f75e835</x:v>
      </x:c>
      <x:c r="E211" t="str">
        <x:v>support-copilot</x:v>
      </x:c>
      <x:c r="F211" t="str">
        <x:v>prod</x:v>
      </x:c>
      <x:c r="G211" t="str">
        <x:v>free</x:v>
      </x:c>
      <x:c r="H211" t="str">
        <x:v>gpt-5-mini</x:v>
      </x:c>
      <x:c r="I211" t="str">
        <x:v>summarization</x:v>
      </x:c>
      <x:c r="J211" t="str">
        <x:v>success</x:v>
      </x:c>
      <x:c r="K211" t="n">
        <x:v>851</x:v>
      </x:c>
      <x:c r="L211" t="n">
        <x:v>227</x:v>
      </x:c>
      <x:c r="M211" t="n">
        <x:v>2426</x:v>
      </x:c>
      <x:c r="N211" t="n">
        <x:v>210</x:v>
      </x:c>
      <x:c r="O211" t="n">
        <x:f>M211+N211</x:f>
        <x:v>2636</x:v>
      </x:c>
      <x:c r="P211" s="14" t="n">
        <x:f>M211/1000000*VLOOKUP(H211,'Model Rates'!$A$2:$C$5,2,FALSE)+N211/1000000*VLOOKUP(H211,'Model Rates'!$A$2:$C$5,3,FALSE)</x:f>
        <x:v>0.0013064</x:v>
      </x:c>
      <x:c r="Q211" t="str">
        <x:v>v1.9</x:v>
      </x:c>
      <x:c r="R211" t="n">
        <x:v>0</x:v>
      </x:c>
      <x:c r="S211" s="1" t="b">
        <x:v>1</x:v>
      </x:c>
      <x:c r="T211" t="str">
        <x:v>review</x:v>
      </x:c>
      <x:c r="U211" s="16" t="n">
        <x:v>0.065</x:v>
      </x:c>
      <x:c r="V211" s="16" t="n">
        <x:v>0.85</x:v>
      </x:c>
      <x:c r="W211" s="16" t="n">
        <x:v>1</x:v>
      </x:c>
      <x:c r="X211" t="str">
        <x:v>none</x:v>
      </x:c>
      <x:c r="Y211" t="str"/>
    </x:row>
    <x:row r="212">
      <x:c r="A212" s="12" t="n">
        <x:v>46243.71480324074</x:v>
      </x:c>
      <x:c r="B212" t="str">
        <x:v>tr_9c42c78578e0</x:v>
      </x:c>
      <x:c r="C212" t="str">
        <x:v>sp_f407b725b8</x:v>
      </x:c>
      <x:c r="D212" t="str">
        <x:v>req_67a10c59478d</x:v>
      </x:c>
      <x:c r="E212" t="str">
        <x:v>search-assistant</x:v>
      </x:c>
      <x:c r="F212" t="str">
        <x:v>prod</x:v>
      </x:c>
      <x:c r="G212" t="str">
        <x:v>free</x:v>
      </x:c>
      <x:c r="H212" t="str">
        <x:v>gpt-5-mini</x:v>
      </x:c>
      <x:c r="I212" t="str">
        <x:v>summarization</x:v>
      </x:c>
      <x:c r="J212" t="str">
        <x:v>success</x:v>
      </x:c>
      <x:c r="K212" t="n">
        <x:v>2046</x:v>
      </x:c>
      <x:c r="L212" t="n">
        <x:v>264</x:v>
      </x:c>
      <x:c r="M212" t="n">
        <x:v>1028</x:v>
      </x:c>
      <x:c r="N212" t="n">
        <x:v>335</x:v>
      </x:c>
      <x:c r="O212" t="n">
        <x:f>M212+N212</x:f>
        <x:v>1363</x:v>
      </x:c>
      <x:c r="P212" s="14" t="n">
        <x:f>M212/1000000*VLOOKUP(H212,'Model Rates'!$A$2:$C$5,2,FALSE)+N212/1000000*VLOOKUP(H212,'Model Rates'!$A$2:$C$5,3,FALSE)</x:f>
        <x:v>0.0009472</x:v>
      </x:c>
      <x:c r="Q212" t="str">
        <x:v>v1.9</x:v>
      </x:c>
      <x:c r="R212" t="n">
        <x:v>2</x:v>
      </x:c>
      <x:c r="S212" s="1" t="b">
        <x:v>0</x:v>
      </x:c>
      <x:c r="T212" t="str">
        <x:v>blocked</x:v>
      </x:c>
      <x:c r="U212" s="16" t="n">
        <x:v>0.075</x:v>
      </x:c>
      <x:c r="V212" s="16" t="n">
        <x:v>0.878</x:v>
      </x:c>
      <x:c r="W212" s="16" t="n">
        <x:v>0.835</x:v>
      </x:c>
      <x:c r="X212" t="str">
        <x:v>negative</x:v>
      </x:c>
      <x:c r="Y212" t="str"/>
    </x:row>
    <x:row r="213">
      <x:c r="A213" s="12" t="n">
        <x:v>46243.719826388886</x:v>
      </x:c>
      <x:c r="B213" t="str">
        <x:v>tr_a2b623515f05</x:v>
      </x:c>
      <x:c r="C213" t="str">
        <x:v>sp_dfa2c3f493</x:v>
      </x:c>
      <x:c r="D213" t="str">
        <x:v>req_25772f1e3deb</x:v>
      </x:c>
      <x:c r="E213" t="str">
        <x:v>search-assistant</x:v>
      </x:c>
      <x:c r="F213" t="str">
        <x:v>prod</x:v>
      </x:c>
      <x:c r="G213" t="str">
        <x:v>pro</x:v>
      </x:c>
      <x:c r="H213" t="str">
        <x:v>claude-sonnet</x:v>
      </x:c>
      <x:c r="I213" t="str">
        <x:v>summarization</x:v>
      </x:c>
      <x:c r="J213" t="str">
        <x:v>success</x:v>
      </x:c>
      <x:c r="K213" t="n">
        <x:v>2722</x:v>
      </x:c>
      <x:c r="L213" t="n">
        <x:v>513</x:v>
      </x:c>
      <x:c r="M213" t="n">
        <x:v>731</x:v>
      </x:c>
      <x:c r="N213" t="n">
        <x:v>272</x:v>
      </x:c>
      <x:c r="O213" t="n">
        <x:f>M213+N213</x:f>
        <x:v>1003</x:v>
      </x:c>
      <x:c r="P213" s="14" t="n">
        <x:f>M213/1000000*VLOOKUP(H213,'Model Rates'!$A$2:$C$5,2,FALSE)+N213/1000000*VLOOKUP(H213,'Model Rates'!$A$2:$C$5,3,FALSE)</x:f>
        <x:v>0.006273000000000001</x:v>
      </x:c>
      <x:c r="Q213" t="str">
        <x:v>v1.9</x:v>
      </x:c>
      <x:c r="R213" t="n">
        <x:v>1</x:v>
      </x:c>
      <x:c r="S213" s="1" t="b">
        <x:v>0</x:v>
      </x:c>
      <x:c r="T213" t="str">
        <x:v>pass</x:v>
      </x:c>
      <x:c r="U213" s="16" t="n">
        <x:v>0.096</x:v>
      </x:c>
      <x:c r="V213" s="16" t="n">
        <x:v>0.914</x:v>
      </x:c>
      <x:c r="W213" s="16" t="n">
        <x:v>0.917</x:v>
      </x:c>
      <x:c r="X213" t="str">
        <x:v>none</x:v>
      </x:c>
      <x:c r="Y213" t="str"/>
    </x:row>
    <x:row r="214">
      <x:c r="A214" s="12" t="n">
        <x:v>46243.72170138889</x:v>
      </x:c>
      <x:c r="B214" t="str">
        <x:v>tr_897326b96fd0</x:v>
      </x:c>
      <x:c r="C214" t="str">
        <x:v>sp_55f36251c9</x:v>
      </x:c>
      <x:c r="D214" t="str">
        <x:v>req_ba4a4197f068</x:v>
      </x:c>
      <x:c r="E214" t="str">
        <x:v>doc-summarizer</x:v>
      </x:c>
      <x:c r="F214" t="str">
        <x:v>prod</x:v>
      </x:c>
      <x:c r="G214" t="str">
        <x:v>enterprise</x:v>
      </x:c>
      <x:c r="H214" t="str">
        <x:v>gemini-pro</x:v>
      </x:c>
      <x:c r="I214" t="str">
        <x:v>tool_agent</x:v>
      </x:c>
      <x:c r="J214" t="str">
        <x:v>success</x:v>
      </x:c>
      <x:c r="K214" t="n">
        <x:v>1642</x:v>
      </x:c>
      <x:c r="L214" t="n">
        <x:v>494</x:v>
      </x:c>
      <x:c r="M214" t="n">
        <x:v>602</x:v>
      </x:c>
      <x:c r="N214" t="n">
        <x:v>594</x:v>
      </x:c>
      <x:c r="O214" t="n">
        <x:f>M214+N214</x:f>
        <x:v>1196</x:v>
      </x:c>
      <x:c r="P214" s="14" t="n">
        <x:f>M214/1000000*VLOOKUP(H214,'Model Rates'!$A$2:$C$5,2,FALSE)+N214/1000000*VLOOKUP(H214,'Model Rates'!$A$2:$C$5,3,FALSE)</x:f>
        <x:v>0.0037225</x:v>
      </x:c>
      <x:c r="Q214" t="str">
        <x:v>v1.9</x:v>
      </x:c>
      <x:c r="R214" t="n">
        <x:v>0</x:v>
      </x:c>
      <x:c r="S214" s="1" t="b">
        <x:v>0</x:v>
      </x:c>
      <x:c r="T214" t="str">
        <x:v>pass</x:v>
      </x:c>
      <x:c r="U214" s="16" t="n">
        <x:v>0.171</x:v>
      </x:c>
      <x:c r="V214" s="16" t="n">
        <x:v>0.837</x:v>
      </x:c>
      <x:c r="W214" s="16" t="n">
        <x:v>0.748</x:v>
      </x:c>
      <x:c r="X214" t="str">
        <x:v>positive</x:v>
      </x:c>
      <x:c r="Y214" t="str"/>
    </x:row>
    <x:row r="215">
      <x:c r="A215" s="12" t="n">
        <x:v>46243.722337962965</x:v>
      </x:c>
      <x:c r="B215" t="str">
        <x:v>tr_378fa39cb73f</x:v>
      </x:c>
      <x:c r="C215" t="str">
        <x:v>sp_c9c442ee19</x:v>
      </x:c>
      <x:c r="D215" t="str">
        <x:v>req_352534f1bf38</x:v>
      </x:c>
      <x:c r="E215" t="str">
        <x:v>doc-summarizer</x:v>
      </x:c>
      <x:c r="F215" t="str">
        <x:v>prod</x:v>
      </x:c>
      <x:c r="G215" t="str">
        <x:v>free</x:v>
      </x:c>
      <x:c r="H215" t="str">
        <x:v>gpt-5</x:v>
      </x:c>
      <x:c r="I215" t="str">
        <x:v>tool_agent</x:v>
      </x:c>
      <x:c r="J215" t="str">
        <x:v>success</x:v>
      </x:c>
      <x:c r="K215" t="n">
        <x:v>1360</x:v>
      </x:c>
      <x:c r="L215" t="n">
        <x:v>436</x:v>
      </x:c>
      <x:c r="M215" t="n">
        <x:v>1068</x:v>
      </x:c>
      <x:c r="N215" t="n">
        <x:v>219</x:v>
      </x:c>
      <x:c r="O215" t="n">
        <x:f>M215+N215</x:f>
        <x:v>1287</x:v>
      </x:c>
      <x:c r="P215" s="14" t="n">
        <x:f>M215/1000000*VLOOKUP(H215,'Model Rates'!$A$2:$C$5,2,FALSE)+N215/1000000*VLOOKUP(H215,'Model Rates'!$A$2:$C$5,3,FALSE)</x:f>
        <x:v>0.003525</x:v>
      </x:c>
      <x:c r="Q215" t="str">
        <x:v>v1.8</x:v>
      </x:c>
      <x:c r="R215" t="n">
        <x:v>0</x:v>
      </x:c>
      <x:c r="S215" s="1" t="b">
        <x:v>0</x:v>
      </x:c>
      <x:c r="T215" t="str">
        <x:v>pass</x:v>
      </x:c>
      <x:c r="U215" s="16" t="n">
        <x:v>0.08</x:v>
      </x:c>
      <x:c r="V215" s="16" t="n">
        <x:v>0.854</x:v>
      </x:c>
      <x:c r="W215" s="16" t="n">
        <x:v>0.924</x:v>
      </x:c>
      <x:c r="X215" t="str">
        <x:v>none</x:v>
      </x:c>
      <x:c r="Y215" t="str"/>
    </x:row>
    <x:row r="216">
      <x:c r="A216" s="12" t="n">
        <x:v>46243.72570601852</x:v>
      </x:c>
      <x:c r="B216" t="str">
        <x:v>tr_03b390d2dd58</x:v>
      </x:c>
      <x:c r="C216" t="str">
        <x:v>sp_081b4a8a46</x:v>
      </x:c>
      <x:c r="D216" t="str">
        <x:v>req_8742f97ff9e5</x:v>
      </x:c>
      <x:c r="E216" t="str">
        <x:v>doc-summarizer</x:v>
      </x:c>
      <x:c r="F216" t="str">
        <x:v>staging</x:v>
      </x:c>
      <x:c r="G216" t="str">
        <x:v>pro</x:v>
      </x:c>
      <x:c r="H216" t="str">
        <x:v>gpt-5</x:v>
      </x:c>
      <x:c r="I216" t="str">
        <x:v>summarization</x:v>
      </x:c>
      <x:c r="J216" t="str">
        <x:v>success</x:v>
      </x:c>
      <x:c r="K216" t="n">
        <x:v>1060</x:v>
      </x:c>
      <x:c r="L216" t="n">
        <x:v>458</x:v>
      </x:c>
      <x:c r="M216" t="n">
        <x:v>1042</x:v>
      </x:c>
      <x:c r="N216" t="n">
        <x:v>770</x:v>
      </x:c>
      <x:c r="O216" t="n">
        <x:f>M216+N216</x:f>
        <x:v>1812</x:v>
      </x:c>
      <x:c r="P216" s="14" t="n">
        <x:f>M216/1000000*VLOOKUP(H216,'Model Rates'!$A$2:$C$5,2,FALSE)+N216/1000000*VLOOKUP(H216,'Model Rates'!$A$2:$C$5,3,FALSE)</x:f>
        <x:v>0.0090025</x:v>
      </x:c>
      <x:c r="Q216" t="str">
        <x:v>v2.0</x:v>
      </x:c>
      <x:c r="R216" t="n">
        <x:v>1</x:v>
      </x:c>
      <x:c r="S216" s="1" t="b">
        <x:v>0</x:v>
      </x:c>
      <x:c r="T216" t="str">
        <x:v>pass</x:v>
      </x:c>
      <x:c r="U216" s="16" t="n">
        <x:v>0.063</x:v>
      </x:c>
      <x:c r="V216" s="16" t="n">
        <x:v>0.938</x:v>
      </x:c>
      <x:c r="W216" s="16" t="n">
        <x:v>1</x:v>
      </x:c>
      <x:c r="X216" t="str">
        <x:v>positive</x:v>
      </x:c>
      <x:c r="Y216" t="str"/>
    </x:row>
    <x:row r="217">
      <x:c r="A217" s="12" t="n">
        <x:v>46243.72677083333</x:v>
      </x:c>
      <x:c r="B217" t="str">
        <x:v>tr_eabcdf8aafa9</x:v>
      </x:c>
      <x:c r="C217" t="str">
        <x:v>sp_e000b83607</x:v>
      </x:c>
      <x:c r="D217" t="str">
        <x:v>req_1e952d596246</x:v>
      </x:c>
      <x:c r="E217" t="str">
        <x:v>doc-summarizer</x:v>
      </x:c>
      <x:c r="F217" t="str">
        <x:v>staging</x:v>
      </x:c>
      <x:c r="G217" t="str">
        <x:v>pro</x:v>
      </x:c>
      <x:c r="H217" t="str">
        <x:v>gpt-5-mini</x:v>
      </x:c>
      <x:c r="I217" t="str">
        <x:v>tool_agent</x:v>
      </x:c>
      <x:c r="J217" t="str">
        <x:v>error</x:v>
      </x:c>
      <x:c r="K217" t="n">
        <x:v>1228</x:v>
      </x:c>
      <x:c r="L217" t="n">
        <x:v>199</x:v>
      </x:c>
      <x:c r="M217" t="n">
        <x:v>1542</x:v>
      </x:c>
      <x:c r="N217" t="n">
        <x:v>196</x:v>
      </x:c>
      <x:c r="O217" t="n">
        <x:f>M217+N217</x:f>
        <x:v>1738</x:v>
      </x:c>
      <x:c r="P217" s="14" t="n">
        <x:f>M217/1000000*VLOOKUP(H217,'Model Rates'!$A$2:$C$5,2,FALSE)+N217/1000000*VLOOKUP(H217,'Model Rates'!$A$2:$C$5,3,FALSE)</x:f>
        <x:v>0.0009304000000000001</x:v>
      </x:c>
      <x:c r="Q217" t="str">
        <x:v>v1.9</x:v>
      </x:c>
      <x:c r="R217" t="n">
        <x:v>0</x:v>
      </x:c>
      <x:c r="S217" s="1" t="b">
        <x:v>0</x:v>
      </x:c>
      <x:c r="T217" t="str">
        <x:v>pass</x:v>
      </x:c>
      <x:c r="U217" s="16" t="n">
        <x:v>0.278</x:v>
      </x:c>
      <x:c r="V217" s="16" t="n">
        <x:v>0.485</x:v>
      </x:c>
      <x:c r="W217" s="16" t="n">
        <x:v>0.742</x:v>
      </x:c>
      <x:c r="X217" t="str">
        <x:v>positive</x:v>
      </x:c>
      <x:c r="Y217" t="str">
        <x:v>provider_5xx</x:v>
      </x:c>
    </x:row>
    <x:row r="218">
      <x:c r="A218" s="12" t="n">
        <x:v>46243.73516203704</x:v>
      </x:c>
      <x:c r="B218" t="str">
        <x:v>tr_95b76c968880</x:v>
      </x:c>
      <x:c r="C218" t="str">
        <x:v>sp_2bfdc2b1f8</x:v>
      </x:c>
      <x:c r="D218" t="str">
        <x:v>req_91cce31a14d1</x:v>
      </x:c>
      <x:c r="E218" t="str">
        <x:v>agent-workflow</x:v>
      </x:c>
      <x:c r="F218" t="str">
        <x:v>staging</x:v>
      </x:c>
      <x:c r="G218" t="str">
        <x:v>pro</x:v>
      </x:c>
      <x:c r="H218" t="str">
        <x:v>gpt-5-mini</x:v>
      </x:c>
      <x:c r="I218" t="str">
        <x:v>retrieval_answer</x:v>
      </x:c>
      <x:c r="J218" t="str">
        <x:v>success</x:v>
      </x:c>
      <x:c r="K218" t="n">
        <x:v>640</x:v>
      </x:c>
      <x:c r="L218" t="n">
        <x:v>252</x:v>
      </x:c>
      <x:c r="M218" t="n">
        <x:v>748</x:v>
      </x:c>
      <x:c r="N218" t="n">
        <x:v>371</x:v>
      </x:c>
      <x:c r="O218" t="n">
        <x:f>M218+N218</x:f>
        <x:v>1119</x:v>
      </x:c>
      <x:c r="P218" s="14" t="n">
        <x:f>M218/1000000*VLOOKUP(H218,'Model Rates'!$A$2:$C$5,2,FALSE)+N218/1000000*VLOOKUP(H218,'Model Rates'!$A$2:$C$5,3,FALSE)</x:f>
        <x:v>0.0008928000000000001</x:v>
      </x:c>
      <x:c r="Q218" t="str">
        <x:v>v2.0</x:v>
      </x:c>
      <x:c r="R218" t="n">
        <x:v>0</x:v>
      </x:c>
      <x:c r="S218" s="1" t="b">
        <x:v>0</x:v>
      </x:c>
      <x:c r="T218" t="str">
        <x:v>pass</x:v>
      </x:c>
      <x:c r="U218" s="16" t="n">
        <x:v>0.07</x:v>
      </x:c>
      <x:c r="V218" s="16" t="n">
        <x:v>0.839</x:v>
      </x:c>
      <x:c r="W218" s="16" t="n">
        <x:v>0.795</x:v>
      </x:c>
      <x:c r="X218" t="str">
        <x:v>none</x:v>
      </x:c>
      <x:c r="Y218" t="str"/>
    </x:row>
    <x:row r="219">
      <x:c r="A219" s="12" t="n">
        <x:v>46243.738287037035</x:v>
      </x:c>
      <x:c r="B219" t="str">
        <x:v>tr_635a69a460de</x:v>
      </x:c>
      <x:c r="C219" t="str">
        <x:v>sp_c3c84b0184</x:v>
      </x:c>
      <x:c r="D219" t="str">
        <x:v>req_ba85d6d68f43</x:v>
      </x:c>
      <x:c r="E219" t="str">
        <x:v>doc-summarizer</x:v>
      </x:c>
      <x:c r="F219" t="str">
        <x:v>prod</x:v>
      </x:c>
      <x:c r="G219" t="str">
        <x:v>free</x:v>
      </x:c>
      <x:c r="H219" t="str">
        <x:v>gpt-5-mini</x:v>
      </x:c>
      <x:c r="I219" t="str">
        <x:v>chat_completion</x:v>
      </x:c>
      <x:c r="J219" t="str">
        <x:v>success</x:v>
      </x:c>
      <x:c r="K219" t="n">
        <x:v>2155</x:v>
      </x:c>
      <x:c r="L219" t="n">
        <x:v>229</x:v>
      </x:c>
      <x:c r="M219" t="n">
        <x:v>1179</x:v>
      </x:c>
      <x:c r="N219" t="n">
        <x:v>305</x:v>
      </x:c>
      <x:c r="O219" t="n">
        <x:f>M219+N219</x:f>
        <x:v>1484</x:v>
      </x:c>
      <x:c r="P219" s="14" t="n">
        <x:f>M219/1000000*VLOOKUP(H219,'Model Rates'!$A$2:$C$5,2,FALSE)+N219/1000000*VLOOKUP(H219,'Model Rates'!$A$2:$C$5,3,FALSE)</x:f>
        <x:v>0.0009595999999999999</x:v>
      </x:c>
      <x:c r="Q219" t="str">
        <x:v>v2.0</x:v>
      </x:c>
      <x:c r="R219" t="n">
        <x:v>2</x:v>
      </x:c>
      <x:c r="S219" s="1" t="b">
        <x:v>1</x:v>
      </x:c>
      <x:c r="T219" t="str">
        <x:v>review</x:v>
      </x:c>
      <x:c r="U219" s="16" t="n">
        <x:v>0</x:v>
      </x:c>
      <x:c r="V219" s="16" t="n">
        <x:v>1</x:v>
      </x:c>
      <x:c r="W219" s="16" t="n">
        <x:v>0.951</x:v>
      </x:c>
      <x:c r="X219" t="str">
        <x:v>none</x:v>
      </x:c>
      <x:c r="Y219" t="str"/>
    </x:row>
    <x:row r="220">
      <x:c r="A220" s="12" t="n">
        <x:v>46243.73956018518</x:v>
      </x:c>
      <x:c r="B220" t="str">
        <x:v>tr_c2af71867220</x:v>
      </x:c>
      <x:c r="C220" t="str">
        <x:v>sp_ebb8b8acc5</x:v>
      </x:c>
      <x:c r="D220" t="str">
        <x:v>req_5c00de7a8574</x:v>
      </x:c>
      <x:c r="E220" t="str">
        <x:v>agent-workflow</x:v>
      </x:c>
      <x:c r="F220" t="str">
        <x:v>prod</x:v>
      </x:c>
      <x:c r="G220" t="str">
        <x:v>pro</x:v>
      </x:c>
      <x:c r="H220" t="str">
        <x:v>gpt-5-mini</x:v>
      </x:c>
      <x:c r="I220" t="str">
        <x:v>tool_agent</x:v>
      </x:c>
      <x:c r="J220" t="str">
        <x:v>success</x:v>
      </x:c>
      <x:c r="K220" t="n">
        <x:v>545</x:v>
      </x:c>
      <x:c r="L220" t="n">
        <x:v>313</x:v>
      </x:c>
      <x:c r="M220" t="n">
        <x:v>637</x:v>
      </x:c>
      <x:c r="N220" t="n">
        <x:v>300</x:v>
      </x:c>
      <x:c r="O220" t="n">
        <x:f>M220+N220</x:f>
        <x:v>937</x:v>
      </x:c>
      <x:c r="P220" s="14" t="n">
        <x:f>M220/1000000*VLOOKUP(H220,'Model Rates'!$A$2:$C$5,2,FALSE)+N220/1000000*VLOOKUP(H220,'Model Rates'!$A$2:$C$5,3,FALSE)</x:f>
        <x:v>0.0007348</x:v>
      </x:c>
      <x:c r="Q220" t="str">
        <x:v>v2.0</x:v>
      </x:c>
      <x:c r="R220" t="n">
        <x:v>0</x:v>
      </x:c>
      <x:c r="S220" s="1" t="b">
        <x:v>0</x:v>
      </x:c>
      <x:c r="T220" t="str">
        <x:v>pass</x:v>
      </x:c>
      <x:c r="U220" s="16" t="n">
        <x:v>0.066</x:v>
      </x:c>
      <x:c r="V220" s="16" t="n">
        <x:v>0.971</x:v>
      </x:c>
      <x:c r="W220" s="16" t="n">
        <x:v>0.751</x:v>
      </x:c>
      <x:c r="X220" t="str">
        <x:v>negative</x:v>
      </x:c>
      <x:c r="Y220" t="str"/>
    </x:row>
    <x:row r="221">
      <x:c r="A221" s="12" t="n">
        <x:v>46243.74182870371</x:v>
      </x:c>
      <x:c r="B221" t="str">
        <x:v>tr_17db87510896</x:v>
      </x:c>
      <x:c r="C221" t="str">
        <x:v>sp_a8ff8f8fe3</x:v>
      </x:c>
      <x:c r="D221" t="str">
        <x:v>req_8780653ec758</x:v>
      </x:c>
      <x:c r="E221" t="str">
        <x:v>doc-summarizer</x:v>
      </x:c>
      <x:c r="F221" t="str">
        <x:v>prod</x:v>
      </x:c>
      <x:c r="G221" t="str">
        <x:v>enterprise</x:v>
      </x:c>
      <x:c r="H221" t="str">
        <x:v>gpt-5-mini</x:v>
      </x:c>
      <x:c r="I221" t="str">
        <x:v>summarization</x:v>
      </x:c>
      <x:c r="J221" t="str">
        <x:v>success</x:v>
      </x:c>
      <x:c r="K221" t="n">
        <x:v>1159</x:v>
      </x:c>
      <x:c r="L221" t="n">
        <x:v>243</x:v>
      </x:c>
      <x:c r="M221" t="n">
        <x:v>539</x:v>
      </x:c>
      <x:c r="N221" t="n">
        <x:v>384</x:v>
      </x:c>
      <x:c r="O221" t="n">
        <x:f>M221+N221</x:f>
        <x:v>923</x:v>
      </x:c>
      <x:c r="P221" s="14" t="n">
        <x:f>M221/1000000*VLOOKUP(H221,'Model Rates'!$A$2:$C$5,2,FALSE)+N221/1000000*VLOOKUP(H221,'Model Rates'!$A$2:$C$5,3,FALSE)</x:f>
        <x:v>0.0008300000000000001</x:v>
      </x:c>
      <x:c r="Q221" t="str">
        <x:v>v2.0</x:v>
      </x:c>
      <x:c r="R221" t="n">
        <x:v>0</x:v>
      </x:c>
      <x:c r="S221" s="1" t="b">
        <x:v>0</x:v>
      </x:c>
      <x:c r="T221" t="str">
        <x:v>blocked</x:v>
      </x:c>
      <x:c r="U221" s="16" t="n">
        <x:v>0.156</x:v>
      </x:c>
      <x:c r="V221" s="16" t="n">
        <x:v>0.85</x:v>
      </x:c>
      <x:c r="W221" s="16" t="n">
        <x:v>1</x:v>
      </x:c>
      <x:c r="X221" t="str">
        <x:v>none</x:v>
      </x:c>
      <x:c r="Y221" t="str"/>
    </x:row>
    <x:row r="222">
      <x:c r="A222" s="12" t="n">
        <x:v>46243.74689814815</x:v>
      </x:c>
      <x:c r="B222" t="str">
        <x:v>tr_3cbdeba7b3cf</x:v>
      </x:c>
      <x:c r="C222" t="str">
        <x:v>sp_2d97812a33</x:v>
      </x:c>
      <x:c r="D222" t="str">
        <x:v>req_a48dfe036819</x:v>
      </x:c>
      <x:c r="E222" t="str">
        <x:v>doc-summarizer</x:v>
      </x:c>
      <x:c r="F222" t="str">
        <x:v>prod</x:v>
      </x:c>
      <x:c r="G222" t="str">
        <x:v>enterprise</x:v>
      </x:c>
      <x:c r="H222" t="str">
        <x:v>gemini-pro</x:v>
      </x:c>
      <x:c r="I222" t="str">
        <x:v>summarization</x:v>
      </x:c>
      <x:c r="J222" t="str">
        <x:v>error</x:v>
      </x:c>
      <x:c r="K222" t="n">
        <x:v>1256</x:v>
      </x:c>
      <x:c r="L222" t="n">
        <x:v>386</x:v>
      </x:c>
      <x:c r="M222" t="n">
        <x:v>590</x:v>
      </x:c>
      <x:c r="N222" t="n">
        <x:v>124</x:v>
      </x:c>
      <x:c r="O222" t="n">
        <x:f>M222+N222</x:f>
        <x:v>714</x:v>
      </x:c>
      <x:c r="P222" s="14" t="n">
        <x:f>M222/1000000*VLOOKUP(H222,'Model Rates'!$A$2:$C$5,2,FALSE)+N222/1000000*VLOOKUP(H222,'Model Rates'!$A$2:$C$5,3,FALSE)</x:f>
        <x:v>0.0013575000000000002</x:v>
      </x:c>
      <x:c r="Q222" t="str">
        <x:v>v2.0</x:v>
      </x:c>
      <x:c r="R222" t="n">
        <x:v>0</x:v>
      </x:c>
      <x:c r="S222" s="1" t="b">
        <x:v>0</x:v>
      </x:c>
      <x:c r="T222" t="str">
        <x:v>pass</x:v>
      </x:c>
      <x:c r="U222" s="16" t="n">
        <x:v>0.204</x:v>
      </x:c>
      <x:c r="V222" s="16" t="n">
        <x:v>0.677</x:v>
      </x:c>
      <x:c r="W222" s="16" t="n">
        <x:v>0.768</x:v>
      </x:c>
      <x:c r="X222" t="str">
        <x:v>none</x:v>
      </x:c>
      <x:c r="Y222" t="str">
        <x:v>timeout</x:v>
      </x:c>
    </x:row>
    <x:row r="223">
      <x:c r="A223" s="12" t="n">
        <x:v>46243.75140046296</x:v>
      </x:c>
      <x:c r="B223" t="str">
        <x:v>tr_8b0772ed6a5b</x:v>
      </x:c>
      <x:c r="C223" t="str">
        <x:v>sp_335367a9c3</x:v>
      </x:c>
      <x:c r="D223" t="str">
        <x:v>req_18945a6d7510</x:v>
      </x:c>
      <x:c r="E223" t="str">
        <x:v>support-copilot</x:v>
      </x:c>
      <x:c r="F223" t="str">
        <x:v>prod</x:v>
      </x:c>
      <x:c r="G223" t="str">
        <x:v>free</x:v>
      </x:c>
      <x:c r="H223" t="str">
        <x:v>gpt-5</x:v>
      </x:c>
      <x:c r="I223" t="str">
        <x:v>summarization</x:v>
      </x:c>
      <x:c r="J223" t="str">
        <x:v>success</x:v>
      </x:c>
      <x:c r="K223" t="n">
        <x:v>1639</x:v>
      </x:c>
      <x:c r="L223" t="n">
        <x:v>227</x:v>
      </x:c>
      <x:c r="M223" t="n">
        <x:v>1075</x:v>
      </x:c>
      <x:c r="N223" t="n">
        <x:v>403</x:v>
      </x:c>
      <x:c r="O223" t="n">
        <x:f>M223+N223</x:f>
        <x:v>1478</x:v>
      </x:c>
      <x:c r="P223" s="14" t="n">
        <x:f>M223/1000000*VLOOKUP(H223,'Model Rates'!$A$2:$C$5,2,FALSE)+N223/1000000*VLOOKUP(H223,'Model Rates'!$A$2:$C$5,3,FALSE)</x:f>
        <x:v>0.00537375</x:v>
      </x:c>
      <x:c r="Q223" t="str">
        <x:v>v1.8</x:v>
      </x:c>
      <x:c r="R223" t="n">
        <x:v>0</x:v>
      </x:c>
      <x:c r="S223" s="1" t="b">
        <x:v>0</x:v>
      </x:c>
      <x:c r="T223" t="str">
        <x:v>pass</x:v>
      </x:c>
      <x:c r="U223" s="16" t="n">
        <x:v>0.111</x:v>
      </x:c>
      <x:c r="V223" s="16" t="n">
        <x:v>0.821</x:v>
      </x:c>
      <x:c r="W223" s="16" t="n">
        <x:v>0.892</x:v>
      </x:c>
      <x:c r="X223" t="str">
        <x:v>none</x:v>
      </x:c>
      <x:c r="Y223" t="str"/>
    </x:row>
    <x:row r="224">
      <x:c r="A224" s="12" t="n">
        <x:v>46243.76021990741</x:v>
      </x:c>
      <x:c r="B224" t="str">
        <x:v>tr_d161768e9214</x:v>
      </x:c>
      <x:c r="C224" t="str">
        <x:v>sp_a02eb716f9</x:v>
      </x:c>
      <x:c r="D224" t="str">
        <x:v>req_a95b4b7c209e</x:v>
      </x:c>
      <x:c r="E224" t="str">
        <x:v>agent-workflow</x:v>
      </x:c>
      <x:c r="F224" t="str">
        <x:v>prod</x:v>
      </x:c>
      <x:c r="G224" t="str">
        <x:v>free</x:v>
      </x:c>
      <x:c r="H224" t="str">
        <x:v>gpt-5</x:v>
      </x:c>
      <x:c r="I224" t="str">
        <x:v>tool_agent</x:v>
      </x:c>
      <x:c r="J224" t="str">
        <x:v>success</x:v>
      </x:c>
      <x:c r="K224" t="n">
        <x:v>933</x:v>
      </x:c>
      <x:c r="L224" t="n">
        <x:v>232</x:v>
      </x:c>
      <x:c r="M224" t="n">
        <x:v>1035</x:v>
      </x:c>
      <x:c r="N224" t="n">
        <x:v>266</x:v>
      </x:c>
      <x:c r="O224" t="n">
        <x:f>M224+N224</x:f>
        <x:v>1301</x:v>
      </x:c>
      <x:c r="P224" s="14" t="n">
        <x:f>M224/1000000*VLOOKUP(H224,'Model Rates'!$A$2:$C$5,2,FALSE)+N224/1000000*VLOOKUP(H224,'Model Rates'!$A$2:$C$5,3,FALSE)</x:f>
        <x:v>0.00395375</x:v>
      </x:c>
      <x:c r="Q224" t="str">
        <x:v>v1.8</x:v>
      </x:c>
      <x:c r="R224" t="n">
        <x:v>0</x:v>
      </x:c>
      <x:c r="S224" s="1" t="b">
        <x:v>0</x:v>
      </x:c>
      <x:c r="T224" t="str">
        <x:v>pass</x:v>
      </x:c>
      <x:c r="U224" s="16" t="n">
        <x:v>0.073</x:v>
      </x:c>
      <x:c r="V224" s="16" t="n">
        <x:v>0.701</x:v>
      </x:c>
      <x:c r="W224" s="16" t="n">
        <x:v>0.889</x:v>
      </x:c>
      <x:c r="X224" t="str">
        <x:v>none</x:v>
      </x:c>
      <x:c r="Y224" t="str"/>
    </x:row>
    <x:row r="225">
      <x:c r="A225" s="12" t="n">
        <x:v>46243.76170138889</x:v>
      </x:c>
      <x:c r="B225" t="str">
        <x:v>tr_2bc440f3b667</x:v>
      </x:c>
      <x:c r="C225" t="str">
        <x:v>sp_d72002c03c</x:v>
      </x:c>
      <x:c r="D225" t="str">
        <x:v>req_4d8e72e8920d</x:v>
      </x:c>
      <x:c r="E225" t="str">
        <x:v>search-assistant</x:v>
      </x:c>
      <x:c r="F225" t="str">
        <x:v>prod</x:v>
      </x:c>
      <x:c r="G225" t="str">
        <x:v>pro</x:v>
      </x:c>
      <x:c r="H225" t="str">
        <x:v>gpt-5</x:v>
      </x:c>
      <x:c r="I225" t="str">
        <x:v>tool_agent</x:v>
      </x:c>
      <x:c r="J225" t="str">
        <x:v>success</x:v>
      </x:c>
      <x:c r="K225" t="n">
        <x:v>2704</x:v>
      </x:c>
      <x:c r="L225" t="n">
        <x:v>326</x:v>
      </x:c>
      <x:c r="M225" t="n">
        <x:v>623</x:v>
      </x:c>
      <x:c r="N225" t="n">
        <x:v>322</x:v>
      </x:c>
      <x:c r="O225" t="n">
        <x:f>M225+N225</x:f>
        <x:v>945</x:v>
      </x:c>
      <x:c r="P225" s="14" t="n">
        <x:f>M225/1000000*VLOOKUP(H225,'Model Rates'!$A$2:$C$5,2,FALSE)+N225/1000000*VLOOKUP(H225,'Model Rates'!$A$2:$C$5,3,FALSE)</x:f>
        <x:v>0.003998750000000001</x:v>
      </x:c>
      <x:c r="Q225" t="str">
        <x:v>v1.9</x:v>
      </x:c>
      <x:c r="R225" t="n">
        <x:v>1</x:v>
      </x:c>
      <x:c r="S225" s="1" t="b">
        <x:v>1</x:v>
      </x:c>
      <x:c r="T225" t="str">
        <x:v>pass</x:v>
      </x:c>
      <x:c r="U225" s="16" t="n">
        <x:v>0.126</x:v>
      </x:c>
      <x:c r="V225" s="16" t="n">
        <x:v>0.856</x:v>
      </x:c>
      <x:c r="W225" s="16" t="n">
        <x:v>0.98</x:v>
      </x:c>
      <x:c r="X225" t="str">
        <x:v>none</x:v>
      </x:c>
      <x:c r="Y225" t="str"/>
    </x:row>
    <x:row r="226">
      <x:c r="A226" s="12" t="n">
        <x:v>46243.774351851855</x:v>
      </x:c>
      <x:c r="B226" t="str">
        <x:v>tr_9514f1a7748f</x:v>
      </x:c>
      <x:c r="C226" t="str">
        <x:v>sp_e346490faa</x:v>
      </x:c>
      <x:c r="D226" t="str">
        <x:v>req_db066b773a02</x:v>
      </x:c>
      <x:c r="E226" t="str">
        <x:v>agent-workflow</x:v>
      </x:c>
      <x:c r="F226" t="str">
        <x:v>prod</x:v>
      </x:c>
      <x:c r="G226" t="str">
        <x:v>free</x:v>
      </x:c>
      <x:c r="H226" t="str">
        <x:v>gpt-5</x:v>
      </x:c>
      <x:c r="I226" t="str">
        <x:v>summarization</x:v>
      </x:c>
      <x:c r="J226" t="str">
        <x:v>error</x:v>
      </x:c>
      <x:c r="K226" t="n">
        <x:v>1646</x:v>
      </x:c>
      <x:c r="L226" t="n">
        <x:v>319</x:v>
      </x:c>
      <x:c r="M226" t="n">
        <x:v>381</x:v>
      </x:c>
      <x:c r="N226" t="n">
        <x:v>683</x:v>
      </x:c>
      <x:c r="O226" t="n">
        <x:f>M226+N226</x:f>
        <x:v>1064</x:v>
      </x:c>
      <x:c r="P226" s="14" t="n">
        <x:f>M226/1000000*VLOOKUP(H226,'Model Rates'!$A$2:$C$5,2,FALSE)+N226/1000000*VLOOKUP(H226,'Model Rates'!$A$2:$C$5,3,FALSE)</x:f>
        <x:v>0.00730625</x:v>
      </x:c>
      <x:c r="Q226" t="str">
        <x:v>v1.9</x:v>
      </x:c>
      <x:c r="R226" t="n">
        <x:v>2</x:v>
      </x:c>
      <x:c r="S226" s="1" t="b">
        <x:v>0</x:v>
      </x:c>
      <x:c r="T226" t="str">
        <x:v>pass</x:v>
      </x:c>
      <x:c r="U226" s="16" t="n">
        <x:v>0.281</x:v>
      </x:c>
      <x:c r="V226" s="16" t="n">
        <x:v>0.601</x:v>
      </x:c>
      <x:c r="W226" s="16" t="n">
        <x:v>0.613</x:v>
      </x:c>
      <x:c r="X226" t="str">
        <x:v>positive</x:v>
      </x:c>
      <x:c r="Y226" t="str">
        <x:v>rate_limit</x:v>
      </x:c>
    </x:row>
    <x:row r="227">
      <x:c r="A227" s="12" t="n">
        <x:v>46243.774513888886</x:v>
      </x:c>
      <x:c r="B227" t="str">
        <x:v>tr_33aae39aae5d</x:v>
      </x:c>
      <x:c r="C227" t="str">
        <x:v>sp_76ecdfabaf</x:v>
      </x:c>
      <x:c r="D227" t="str">
        <x:v>req_1a71c8bba874</x:v>
      </x:c>
      <x:c r="E227" t="str">
        <x:v>search-assistant</x:v>
      </x:c>
      <x:c r="F227" t="str">
        <x:v>prod</x:v>
      </x:c>
      <x:c r="G227" t="str">
        <x:v>pro</x:v>
      </x:c>
      <x:c r="H227" t="str">
        <x:v>gpt-5</x:v>
      </x:c>
      <x:c r="I227" t="str">
        <x:v>summarization</x:v>
      </x:c>
      <x:c r="J227" t="str">
        <x:v>success</x:v>
      </x:c>
      <x:c r="K227" t="n">
        <x:v>1331</x:v>
      </x:c>
      <x:c r="L227" t="n">
        <x:v>478</x:v>
      </x:c>
      <x:c r="M227" t="n">
        <x:v>1404</x:v>
      </x:c>
      <x:c r="N227" t="n">
        <x:v>204</x:v>
      </x:c>
      <x:c r="O227" t="n">
        <x:f>M227+N227</x:f>
        <x:v>1608</x:v>
      </x:c>
      <x:c r="P227" s="14" t="n">
        <x:f>M227/1000000*VLOOKUP(H227,'Model Rates'!$A$2:$C$5,2,FALSE)+N227/1000000*VLOOKUP(H227,'Model Rates'!$A$2:$C$5,3,FALSE)</x:f>
        <x:v>0.003795</x:v>
      </x:c>
      <x:c r="Q227" t="str">
        <x:v>v1.9</x:v>
      </x:c>
      <x:c r="R227" t="n">
        <x:v>0</x:v>
      </x:c>
      <x:c r="S227" s="1" t="b">
        <x:v>0</x:v>
      </x:c>
      <x:c r="T227" t="str">
        <x:v>review</x:v>
      </x:c>
      <x:c r="U227" s="16" t="n">
        <x:v>0.047</x:v>
      </x:c>
      <x:c r="V227" s="16" t="n">
        <x:v>0.916</x:v>
      </x:c>
      <x:c r="W227" s="16" t="n">
        <x:v>0.948</x:v>
      </x:c>
      <x:c r="X227" t="str">
        <x:v>none</x:v>
      </x:c>
      <x:c r="Y227" t="str"/>
    </x:row>
    <x:row r="228">
      <x:c r="A228" s="12" t="n">
        <x:v>46243.77724537037</x:v>
      </x:c>
      <x:c r="B228" t="str">
        <x:v>tr_f2d006d35990</x:v>
      </x:c>
      <x:c r="C228" t="str">
        <x:v>sp_267931487d</x:v>
      </x:c>
      <x:c r="D228" t="str">
        <x:v>req_0a0bc3cec340</x:v>
      </x:c>
      <x:c r="E228" t="str">
        <x:v>agent-workflow</x:v>
      </x:c>
      <x:c r="F228" t="str">
        <x:v>prod</x:v>
      </x:c>
      <x:c r="G228" t="str">
        <x:v>pro</x:v>
      </x:c>
      <x:c r="H228" t="str">
        <x:v>gpt-5-mini</x:v>
      </x:c>
      <x:c r="I228" t="str">
        <x:v>retrieval_answer</x:v>
      </x:c>
      <x:c r="J228" t="str">
        <x:v>success</x:v>
      </x:c>
      <x:c r="K228" t="n">
        <x:v>823</x:v>
      </x:c>
      <x:c r="L228" t="n">
        <x:v>254</x:v>
      </x:c>
      <x:c r="M228" t="n">
        <x:v>936</x:v>
      </x:c>
      <x:c r="N228" t="n">
        <x:v>369</x:v>
      </x:c>
      <x:c r="O228" t="n">
        <x:f>M228+N228</x:f>
        <x:v>1305</x:v>
      </x:c>
      <x:c r="P228" s="14" t="n">
        <x:f>M228/1000000*VLOOKUP(H228,'Model Rates'!$A$2:$C$5,2,FALSE)+N228/1000000*VLOOKUP(H228,'Model Rates'!$A$2:$C$5,3,FALSE)</x:f>
        <x:v>0.0009648</x:v>
      </x:c>
      <x:c r="Q228" t="str">
        <x:v>v1.8</x:v>
      </x:c>
      <x:c r="R228" t="n">
        <x:v>0</x:v>
      </x:c>
      <x:c r="S228" s="1" t="b">
        <x:v>0</x:v>
      </x:c>
      <x:c r="T228" t="str">
        <x:v>pass</x:v>
      </x:c>
      <x:c r="U228" s="16" t="n">
        <x:v>0.089</x:v>
      </x:c>
      <x:c r="V228" s="16" t="n">
        <x:v>0.73</x:v>
      </x:c>
      <x:c r="W228" s="16" t="n">
        <x:v>0.86</x:v>
      </x:c>
      <x:c r="X228" t="str">
        <x:v>none</x:v>
      </x:c>
      <x:c r="Y228" t="str"/>
    </x:row>
    <x:row r="229">
      <x:c r="A229" s="12" t="n">
        <x:v>46243.781851851854</x:v>
      </x:c>
      <x:c r="B229" t="str">
        <x:v>tr_20ec4f6bf2a6</x:v>
      </x:c>
      <x:c r="C229" t="str">
        <x:v>sp_ad048328b2</x:v>
      </x:c>
      <x:c r="D229" t="str">
        <x:v>req_3e946c76fbf0</x:v>
      </x:c>
      <x:c r="E229" t="str">
        <x:v>agent-workflow</x:v>
      </x:c>
      <x:c r="F229" t="str">
        <x:v>prod</x:v>
      </x:c>
      <x:c r="G229" t="str">
        <x:v>pro</x:v>
      </x:c>
      <x:c r="H229" t="str">
        <x:v>gpt-5-mini</x:v>
      </x:c>
      <x:c r="I229" t="str">
        <x:v>tool_agent</x:v>
      </x:c>
      <x:c r="J229" t="str">
        <x:v>success</x:v>
      </x:c>
      <x:c r="K229" t="n">
        <x:v>331</x:v>
      </x:c>
      <x:c r="L229" t="n">
        <x:v>307</x:v>
      </x:c>
      <x:c r="M229" t="n">
        <x:v>182</x:v>
      </x:c>
      <x:c r="N229" t="n">
        <x:v>89</x:v>
      </x:c>
      <x:c r="O229" t="n">
        <x:f>M229+N229</x:f>
        <x:v>271</x:v>
      </x:c>
      <x:c r="P229" s="14" t="n">
        <x:f>M229/1000000*VLOOKUP(H229,'Model Rates'!$A$2:$C$5,2,FALSE)+N229/1000000*VLOOKUP(H229,'Model Rates'!$A$2:$C$5,3,FALSE)</x:f>
        <x:v>0.0002152</x:v>
      </x:c>
      <x:c r="Q229" t="str">
        <x:v>v2.0</x:v>
      </x:c>
      <x:c r="R229" t="n">
        <x:v>0</x:v>
      </x:c>
      <x:c r="S229" s="1" t="b">
        <x:v>0</x:v>
      </x:c>
      <x:c r="T229" t="str">
        <x:v>pass</x:v>
      </x:c>
      <x:c r="U229" s="16" t="n">
        <x:v>0.155</x:v>
      </x:c>
      <x:c r="V229" s="16" t="n">
        <x:v>0.794</x:v>
      </x:c>
      <x:c r="W229" s="16" t="n">
        <x:v>0.863</x:v>
      </x:c>
      <x:c r="X229" t="str">
        <x:v>none</x:v>
      </x:c>
      <x:c r="Y229" t="str"/>
    </x:row>
    <x:row r="230">
      <x:c r="A230" s="12" t="n">
        <x:v>46243.78474537037</x:v>
      </x:c>
      <x:c r="B230" t="str">
        <x:v>tr_c75787a54182</x:v>
      </x:c>
      <x:c r="C230" t="str">
        <x:v>sp_9d0eb1beec</x:v>
      </x:c>
      <x:c r="D230" t="str">
        <x:v>req_eda816b4f5d3</x:v>
      </x:c>
      <x:c r="E230" t="str">
        <x:v>support-copilot</x:v>
      </x:c>
      <x:c r="F230" t="str">
        <x:v>prod</x:v>
      </x:c>
      <x:c r="G230" t="str">
        <x:v>enterprise</x:v>
      </x:c>
      <x:c r="H230" t="str">
        <x:v>claude-sonnet</x:v>
      </x:c>
      <x:c r="I230" t="str">
        <x:v>retrieval_answer</x:v>
      </x:c>
      <x:c r="J230" t="str">
        <x:v>success</x:v>
      </x:c>
      <x:c r="K230" t="n">
        <x:v>2749</x:v>
      </x:c>
      <x:c r="L230" t="n">
        <x:v>418</x:v>
      </x:c>
      <x:c r="M230" t="n">
        <x:v>1510</x:v>
      </x:c>
      <x:c r="N230" t="n">
        <x:v>476</x:v>
      </x:c>
      <x:c r="O230" t="n">
        <x:f>M230+N230</x:f>
        <x:v>1986</x:v>
      </x:c>
      <x:c r="P230" s="14" t="n">
        <x:f>M230/1000000*VLOOKUP(H230,'Model Rates'!$A$2:$C$5,2,FALSE)+N230/1000000*VLOOKUP(H230,'Model Rates'!$A$2:$C$5,3,FALSE)</x:f>
        <x:v>0.01167</x:v>
      </x:c>
      <x:c r="Q230" t="str">
        <x:v>v2.0</x:v>
      </x:c>
      <x:c r="R230" t="n">
        <x:v>3</x:v>
      </x:c>
      <x:c r="S230" s="1" t="b">
        <x:v>0</x:v>
      </x:c>
      <x:c r="T230" t="str">
        <x:v>blocked</x:v>
      </x:c>
      <x:c r="U230" s="16" t="n">
        <x:v>0.019</x:v>
      </x:c>
      <x:c r="V230" s="16" t="n">
        <x:v>1</x:v>
      </x:c>
      <x:c r="W230" s="16" t="n">
        <x:v>0.853</x:v>
      </x:c>
      <x:c r="X230" t="str">
        <x:v>none</x:v>
      </x:c>
      <x:c r="Y230" t="str"/>
    </x:row>
    <x:row r="231">
      <x:c r="A231" s="12" t="n">
        <x:v>46243.78575231481</x:v>
      </x:c>
      <x:c r="B231" t="str">
        <x:v>tr_fa7aa073ccaa</x:v>
      </x:c>
      <x:c r="C231" t="str">
        <x:v>sp_4ca26ff3c0</x:v>
      </x:c>
      <x:c r="D231" t="str">
        <x:v>req_798c97c118a1</x:v>
      </x:c>
      <x:c r="E231" t="str">
        <x:v>search-assistant</x:v>
      </x:c>
      <x:c r="F231" t="str">
        <x:v>prod</x:v>
      </x:c>
      <x:c r="G231" t="str">
        <x:v>free</x:v>
      </x:c>
      <x:c r="H231" t="str">
        <x:v>gpt-5</x:v>
      </x:c>
      <x:c r="I231" t="str">
        <x:v>tool_agent</x:v>
      </x:c>
      <x:c r="J231" t="str">
        <x:v>success</x:v>
      </x:c>
      <x:c r="K231" t="n">
        <x:v>730</x:v>
      </x:c>
      <x:c r="L231" t="n">
        <x:v>339</x:v>
      </x:c>
      <x:c r="M231" t="n">
        <x:v>2288</x:v>
      </x:c>
      <x:c r="N231" t="n">
        <x:v>379</x:v>
      </x:c>
      <x:c r="O231" t="n">
        <x:f>M231+N231</x:f>
        <x:v>2667</x:v>
      </x:c>
      <x:c r="P231" s="14" t="n">
        <x:f>M231/1000000*VLOOKUP(H231,'Model Rates'!$A$2:$C$5,2,FALSE)+N231/1000000*VLOOKUP(H231,'Model Rates'!$A$2:$C$5,3,FALSE)</x:f>
        <x:v>0.00665</x:v>
      </x:c>
      <x:c r="Q231" t="str">
        <x:v>v1.9</x:v>
      </x:c>
      <x:c r="R231" t="n">
        <x:v>0</x:v>
      </x:c>
      <x:c r="S231" s="1" t="b">
        <x:v>0</x:v>
      </x:c>
      <x:c r="T231" t="str">
        <x:v>pass</x:v>
      </x:c>
      <x:c r="U231" s="16" t="n">
        <x:v>0.11</x:v>
      </x:c>
      <x:c r="V231" s="16" t="n">
        <x:v>0.757</x:v>
      </x:c>
      <x:c r="W231" s="16" t="n">
        <x:v>0.917</x:v>
      </x:c>
      <x:c r="X231" t="str">
        <x:v>none</x:v>
      </x:c>
      <x:c r="Y231" t="str"/>
    </x:row>
    <x:row r="232">
      <x:c r="A232" s="12" t="n">
        <x:v>46243.78837962963</x:v>
      </x:c>
      <x:c r="B232" t="str">
        <x:v>tr_eb620deb459a</x:v>
      </x:c>
      <x:c r="C232" t="str">
        <x:v>sp_ad4bb557d8</x:v>
      </x:c>
      <x:c r="D232" t="str">
        <x:v>req_98e95509fbf3</x:v>
      </x:c>
      <x:c r="E232" t="str">
        <x:v>support-copilot</x:v>
      </x:c>
      <x:c r="F232" t="str">
        <x:v>prod</x:v>
      </x:c>
      <x:c r="G232" t="str">
        <x:v>pro</x:v>
      </x:c>
      <x:c r="H232" t="str">
        <x:v>gpt-5</x:v>
      </x:c>
      <x:c r="I232" t="str">
        <x:v>retrieval_answer</x:v>
      </x:c>
      <x:c r="J232" t="str">
        <x:v>success</x:v>
      </x:c>
      <x:c r="K232" t="n">
        <x:v>4002</x:v>
      </x:c>
      <x:c r="L232" t="n">
        <x:v>570</x:v>
      </x:c>
      <x:c r="M232" t="n">
        <x:v>563</x:v>
      </x:c>
      <x:c r="N232" t="n">
        <x:v>302</x:v>
      </x:c>
      <x:c r="O232" t="n">
        <x:f>M232+N232</x:f>
        <x:v>865</x:v>
      </x:c>
      <x:c r="P232" s="14" t="n">
        <x:f>M232/1000000*VLOOKUP(H232,'Model Rates'!$A$2:$C$5,2,FALSE)+N232/1000000*VLOOKUP(H232,'Model Rates'!$A$2:$C$5,3,FALSE)</x:f>
        <x:v>0.00372375</x:v>
      </x:c>
      <x:c r="Q232" t="str">
        <x:v>v1.9</x:v>
      </x:c>
      <x:c r="R232" t="n">
        <x:v>3</x:v>
      </x:c>
      <x:c r="S232" s="1" t="b">
        <x:v>1</x:v>
      </x:c>
      <x:c r="T232" t="str">
        <x:v>review</x:v>
      </x:c>
      <x:c r="U232" s="16" t="n">
        <x:v>0.071</x:v>
      </x:c>
      <x:c r="V232" s="16" t="n">
        <x:v>1</x:v>
      </x:c>
      <x:c r="W232" s="16" t="n">
        <x:v>0.706</x:v>
      </x:c>
      <x:c r="X232" t="str">
        <x:v>none</x:v>
      </x:c>
      <x:c r="Y232" t="str"/>
    </x:row>
    <x:row r="233">
      <x:c r="A233" s="12" t="n">
        <x:v>46243.79025462963</x:v>
      </x:c>
      <x:c r="B233" t="str">
        <x:v>tr_c5b43eb54948</x:v>
      </x:c>
      <x:c r="C233" t="str">
        <x:v>sp_a24fbf698a</x:v>
      </x:c>
      <x:c r="D233" t="str">
        <x:v>req_c1c2f10663b1</x:v>
      </x:c>
      <x:c r="E233" t="str">
        <x:v>agent-workflow</x:v>
      </x:c>
      <x:c r="F233" t="str">
        <x:v>prod</x:v>
      </x:c>
      <x:c r="G233" t="str">
        <x:v>free</x:v>
      </x:c>
      <x:c r="H233" t="str">
        <x:v>gpt-5-mini</x:v>
      </x:c>
      <x:c r="I233" t="str">
        <x:v>chat_completion</x:v>
      </x:c>
      <x:c r="J233" t="str">
        <x:v>success</x:v>
      </x:c>
      <x:c r="K233" t="n">
        <x:v>1310</x:v>
      </x:c>
      <x:c r="L233" t="n">
        <x:v>231</x:v>
      </x:c>
      <x:c r="M233" t="n">
        <x:v>1452</x:v>
      </x:c>
      <x:c r="N233" t="n">
        <x:v>96</x:v>
      </x:c>
      <x:c r="O233" t="n">
        <x:f>M233+N233</x:f>
        <x:v>1548</x:v>
      </x:c>
      <x:c r="P233" s="14" t="n">
        <x:f>M233/1000000*VLOOKUP(H233,'Model Rates'!$A$2:$C$5,2,FALSE)+N233/1000000*VLOOKUP(H233,'Model Rates'!$A$2:$C$5,3,FALSE)</x:f>
        <x:v>0.0007344000000000001</x:v>
      </x:c>
      <x:c r="Q233" t="str">
        <x:v>v2.0</x:v>
      </x:c>
      <x:c r="R233" t="n">
        <x:v>0</x:v>
      </x:c>
      <x:c r="S233" s="1" t="b">
        <x:v>1</x:v>
      </x:c>
      <x:c r="T233" t="str">
        <x:v>pass</x:v>
      </x:c>
      <x:c r="U233" s="16" t="n">
        <x:v>0.062</x:v>
      </x:c>
      <x:c r="V233" s="16" t="n">
        <x:v>0.945</x:v>
      </x:c>
      <x:c r="W233" s="16" t="n">
        <x:v>1</x:v>
      </x:c>
      <x:c r="X233" t="str">
        <x:v>none</x:v>
      </x:c>
      <x:c r="Y233" t="str"/>
    </x:row>
    <x:row r="234">
      <x:c r="A234" s="12" t="n">
        <x:v>46243.793020833335</x:v>
      </x:c>
      <x:c r="B234" t="str">
        <x:v>tr_24b40f075ff5</x:v>
      </x:c>
      <x:c r="C234" t="str">
        <x:v>sp_0aba5b6dce</x:v>
      </x:c>
      <x:c r="D234" t="str">
        <x:v>req_25b262af2eca</x:v>
      </x:c>
      <x:c r="E234" t="str">
        <x:v>doc-summarizer</x:v>
      </x:c>
      <x:c r="F234" t="str">
        <x:v>prod</x:v>
      </x:c>
      <x:c r="G234" t="str">
        <x:v>free</x:v>
      </x:c>
      <x:c r="H234" t="str">
        <x:v>gpt-5</x:v>
      </x:c>
      <x:c r="I234" t="str">
        <x:v>retrieval_answer</x:v>
      </x:c>
      <x:c r="J234" t="str">
        <x:v>error</x:v>
      </x:c>
      <x:c r="K234" t="n">
        <x:v>2035</x:v>
      </x:c>
      <x:c r="L234" t="n">
        <x:v>421</x:v>
      </x:c>
      <x:c r="M234" t="n">
        <x:v>2169</x:v>
      </x:c>
      <x:c r="N234" t="n">
        <x:v>206</x:v>
      </x:c>
      <x:c r="O234" t="n">
        <x:f>M234+N234</x:f>
        <x:v>2375</x:v>
      </x:c>
      <x:c r="P234" s="14" t="n">
        <x:f>M234/1000000*VLOOKUP(H234,'Model Rates'!$A$2:$C$5,2,FALSE)+N234/1000000*VLOOKUP(H234,'Model Rates'!$A$2:$C$5,3,FALSE)</x:f>
        <x:v>0.0047712499999999994</x:v>
      </x:c>
      <x:c r="Q234" t="str">
        <x:v>v1.9</x:v>
      </x:c>
      <x:c r="R234" t="n">
        <x:v>0</x:v>
      </x:c>
      <x:c r="S234" s="1" t="b">
        <x:v>0</x:v>
      </x:c>
      <x:c r="T234" t="str">
        <x:v>pass</x:v>
      </x:c>
      <x:c r="U234" s="16" t="n">
        <x:v>0.3</x:v>
      </x:c>
      <x:c r="V234" s="16" t="n">
        <x:v>0.836</x:v>
      </x:c>
      <x:c r="W234" s="16" t="n">
        <x:v>0.527</x:v>
      </x:c>
      <x:c r="X234" t="str">
        <x:v>positive</x:v>
      </x:c>
      <x:c r="Y234" t="str">
        <x:v>provider_5xx</x:v>
      </x:c>
    </x:row>
    <x:row r="235">
      <x:c r="A235" s="12" t="n">
        <x:v>46243.793587962966</x:v>
      </x:c>
      <x:c r="B235" t="str">
        <x:v>tr_fc4a15cc151b</x:v>
      </x:c>
      <x:c r="C235" t="str">
        <x:v>sp_3b156916b2</x:v>
      </x:c>
      <x:c r="D235" t="str">
        <x:v>req_b9900c4d3326</x:v>
      </x:c>
      <x:c r="E235" t="str">
        <x:v>doc-summarizer</x:v>
      </x:c>
      <x:c r="F235" t="str">
        <x:v>prod</x:v>
      </x:c>
      <x:c r="G235" t="str">
        <x:v>free</x:v>
      </x:c>
      <x:c r="H235" t="str">
        <x:v>claude-sonnet</x:v>
      </x:c>
      <x:c r="I235" t="str">
        <x:v>chat_completion</x:v>
      </x:c>
      <x:c r="J235" t="str">
        <x:v>success</x:v>
      </x:c>
      <x:c r="K235" t="n">
        <x:v>2018</x:v>
      </x:c>
      <x:c r="L235" t="n">
        <x:v>372</x:v>
      </x:c>
      <x:c r="M235" t="n">
        <x:v>559</x:v>
      </x:c>
      <x:c r="N235" t="n">
        <x:v>173</x:v>
      </x:c>
      <x:c r="O235" t="n">
        <x:f>M235+N235</x:f>
        <x:v>732</x:v>
      </x:c>
      <x:c r="P235" s="14" t="n">
        <x:f>M235/1000000*VLOOKUP(H235,'Model Rates'!$A$2:$C$5,2,FALSE)+N235/1000000*VLOOKUP(H235,'Model Rates'!$A$2:$C$5,3,FALSE)</x:f>
        <x:v>0.004272</x:v>
      </x:c>
      <x:c r="Q235" t="str">
        <x:v>v2.0</x:v>
      </x:c>
      <x:c r="R235" t="n">
        <x:v>0</x:v>
      </x:c>
      <x:c r="S235" s="1" t="b">
        <x:v>0</x:v>
      </x:c>
      <x:c r="T235" t="str">
        <x:v>pass</x:v>
      </x:c>
      <x:c r="U235" s="16" t="n">
        <x:v>0.089</x:v>
      </x:c>
      <x:c r="V235" s="16" t="n">
        <x:v>0.865</x:v>
      </x:c>
      <x:c r="W235" s="16" t="n">
        <x:v>0.911</x:v>
      </x:c>
      <x:c r="X235" t="str">
        <x:v>none</x:v>
      </x:c>
      <x:c r="Y235" t="str"/>
    </x:row>
    <x:row r="236">
      <x:c r="A236" s="12" t="n">
        <x:v>46243.7968287037</x:v>
      </x:c>
      <x:c r="B236" t="str">
        <x:v>tr_75a7779c289d</x:v>
      </x:c>
      <x:c r="C236" t="str">
        <x:v>sp_02b4c3f407</x:v>
      </x:c>
      <x:c r="D236" t="str">
        <x:v>req_1bac02daa7b9</x:v>
      </x:c>
      <x:c r="E236" t="str">
        <x:v>support-copilot</x:v>
      </x:c>
      <x:c r="F236" t="str">
        <x:v>prod</x:v>
      </x:c>
      <x:c r="G236" t="str">
        <x:v>free</x:v>
      </x:c>
      <x:c r="H236" t="str">
        <x:v>gpt-5-mini</x:v>
      </x:c>
      <x:c r="I236" t="str">
        <x:v>summarization</x:v>
      </x:c>
      <x:c r="J236" t="str">
        <x:v>error</x:v>
      </x:c>
      <x:c r="K236" t="n">
        <x:v>1000</x:v>
      </x:c>
      <x:c r="L236" t="n">
        <x:v>274</x:v>
      </x:c>
      <x:c r="M236" t="n">
        <x:v>589</x:v>
      </x:c>
      <x:c r="N236" t="n">
        <x:v>172</x:v>
      </x:c>
      <x:c r="O236" t="n">
        <x:f>M236+N236</x:f>
        <x:v>761</x:v>
      </x:c>
      <x:c r="P236" s="14" t="n">
        <x:f>M236/1000000*VLOOKUP(H236,'Model Rates'!$A$2:$C$5,2,FALSE)+N236/1000000*VLOOKUP(H236,'Model Rates'!$A$2:$C$5,3,FALSE)</x:f>
        <x:v>0.0005108000000000001</x:v>
      </x:c>
      <x:c r="Q236" t="str">
        <x:v>v2.0</x:v>
      </x:c>
      <x:c r="R236" t="n">
        <x:v>0</x:v>
      </x:c>
      <x:c r="S236" s="1" t="b">
        <x:v>0</x:v>
      </x:c>
      <x:c r="T236" t="str">
        <x:v>pass</x:v>
      </x:c>
      <x:c r="U236" s="16" t="n">
        <x:v>0.114</x:v>
      </x:c>
      <x:c r="V236" s="16" t="n">
        <x:v>0.68</x:v>
      </x:c>
      <x:c r="W236" s="16" t="n">
        <x:v>0.572</x:v>
      </x:c>
      <x:c r="X236" t="str">
        <x:v>positive</x:v>
      </x:c>
      <x:c r="Y236" t="str">
        <x:v>provider_5xx</x:v>
      </x:c>
    </x:row>
    <x:row r="237">
      <x:c r="A237" s="12" t="n">
        <x:v>46243.797488425924</x:v>
      </x:c>
      <x:c r="B237" t="str">
        <x:v>tr_71a1513fe744</x:v>
      </x:c>
      <x:c r="C237" t="str">
        <x:v>sp_e64a438107</x:v>
      </x:c>
      <x:c r="D237" t="str">
        <x:v>req_55b1f36395f9</x:v>
      </x:c>
      <x:c r="E237" t="str">
        <x:v>agent-workflow</x:v>
      </x:c>
      <x:c r="F237" t="str">
        <x:v>prod</x:v>
      </x:c>
      <x:c r="G237" t="str">
        <x:v>free</x:v>
      </x:c>
      <x:c r="H237" t="str">
        <x:v>gpt-5-mini</x:v>
      </x:c>
      <x:c r="I237" t="str">
        <x:v>summarization</x:v>
      </x:c>
      <x:c r="J237" t="str">
        <x:v>error</x:v>
      </x:c>
      <x:c r="K237" t="n">
        <x:v>2040</x:v>
      </x:c>
      <x:c r="L237" t="n">
        <x:v>206</x:v>
      </x:c>
      <x:c r="M237" t="n">
        <x:v>1174</x:v>
      </x:c>
      <x:c r="N237" t="n">
        <x:v>336</x:v>
      </x:c>
      <x:c r="O237" t="n">
        <x:f>M237+N237</x:f>
        <x:v>1510</x:v>
      </x:c>
      <x:c r="P237" s="14" t="n">
        <x:f>M237/1000000*VLOOKUP(H237,'Model Rates'!$A$2:$C$5,2,FALSE)+N237/1000000*VLOOKUP(H237,'Model Rates'!$A$2:$C$5,3,FALSE)</x:f>
        <x:v>0.0010072</x:v>
      </x:c>
      <x:c r="Q237" t="str">
        <x:v>v1.8</x:v>
      </x:c>
      <x:c r="R237" t="n">
        <x:v>2</x:v>
      </x:c>
      <x:c r="S237" s="1" t="b">
        <x:v>0</x:v>
      </x:c>
      <x:c r="T237" t="str">
        <x:v>pass</x:v>
      </x:c>
      <x:c r="U237" s="16" t="n">
        <x:v>0.146</x:v>
      </x:c>
      <x:c r="V237" s="16" t="n">
        <x:v>0.616</x:v>
      </x:c>
      <x:c r="W237" s="16" t="n">
        <x:v>0.665</x:v>
      </x:c>
      <x:c r="X237" t="str">
        <x:v>positive</x:v>
      </x:c>
      <x:c r="Y237" t="str">
        <x:v>provider_5xx</x:v>
      </x:c>
    </x:row>
    <x:row r="238">
      <x:c r="A238" s="12" t="n">
        <x:v>46243.79788194445</x:v>
      </x:c>
      <x:c r="B238" t="str">
        <x:v>tr_5263c5a6bf0b</x:v>
      </x:c>
      <x:c r="C238" t="str">
        <x:v>sp_3e40d61c11</x:v>
      </x:c>
      <x:c r="D238" t="str">
        <x:v>req_06668b9e74d7</x:v>
      </x:c>
      <x:c r="E238" t="str">
        <x:v>support-copilot</x:v>
      </x:c>
      <x:c r="F238" t="str">
        <x:v>prod</x:v>
      </x:c>
      <x:c r="G238" t="str">
        <x:v>free</x:v>
      </x:c>
      <x:c r="H238" t="str">
        <x:v>gemini-pro</x:v>
      </x:c>
      <x:c r="I238" t="str">
        <x:v>tool_agent</x:v>
      </x:c>
      <x:c r="J238" t="str">
        <x:v>success</x:v>
      </x:c>
      <x:c r="K238" t="n">
        <x:v>1334</x:v>
      </x:c>
      <x:c r="L238" t="n">
        <x:v>80</x:v>
      </x:c>
      <x:c r="M238" t="n">
        <x:v>473</x:v>
      </x:c>
      <x:c r="N238" t="n">
        <x:v>234</x:v>
      </x:c>
      <x:c r="O238" t="n">
        <x:f>M238+N238</x:f>
        <x:v>707</x:v>
      </x:c>
      <x:c r="P238" s="14" t="n">
        <x:f>M238/1000000*VLOOKUP(H238,'Model Rates'!$A$2:$C$5,2,FALSE)+N238/1000000*VLOOKUP(H238,'Model Rates'!$A$2:$C$5,3,FALSE)</x:f>
        <x:v>0.00176125</x:v>
      </x:c>
      <x:c r="Q238" t="str">
        <x:v>v2.0</x:v>
      </x:c>
      <x:c r="R238" t="n">
        <x:v>0</x:v>
      </x:c>
      <x:c r="S238" s="1" t="b">
        <x:v>0</x:v>
      </x:c>
      <x:c r="T238" t="str">
        <x:v>pass</x:v>
      </x:c>
      <x:c r="U238" s="16" t="n">
        <x:v>0.066</x:v>
      </x:c>
      <x:c r="V238" s="16" t="n">
        <x:v>0.853</x:v>
      </x:c>
      <x:c r="W238" s="16" t="n">
        <x:v>0.881</x:v>
      </x:c>
      <x:c r="X238" t="str">
        <x:v>positive</x:v>
      </x:c>
      <x:c r="Y238" t="str"/>
    </x:row>
    <x:row r="239">
      <x:c r="A239" s="12" t="n">
        <x:v>46243.80375</x:v>
      </x:c>
      <x:c r="B239" t="str">
        <x:v>tr_bd895b30f114</x:v>
      </x:c>
      <x:c r="C239" t="str">
        <x:v>sp_3c8974f9ba</x:v>
      </x:c>
      <x:c r="D239" t="str">
        <x:v>req_e069464228d9</x:v>
      </x:c>
      <x:c r="E239" t="str">
        <x:v>agent-workflow</x:v>
      </x:c>
      <x:c r="F239" t="str">
        <x:v>prod</x:v>
      </x:c>
      <x:c r="G239" t="str">
        <x:v>free</x:v>
      </x:c>
      <x:c r="H239" t="str">
        <x:v>gpt-5</x:v>
      </x:c>
      <x:c r="I239" t="str">
        <x:v>chat_completion</x:v>
      </x:c>
      <x:c r="J239" t="str">
        <x:v>success</x:v>
      </x:c>
      <x:c r="K239" t="n">
        <x:v>1233</x:v>
      </x:c>
      <x:c r="L239" t="n">
        <x:v>649</x:v>
      </x:c>
      <x:c r="M239" t="n">
        <x:v>812</x:v>
      </x:c>
      <x:c r="N239" t="n">
        <x:v>97</x:v>
      </x:c>
      <x:c r="O239" t="n">
        <x:f>M239+N239</x:f>
        <x:v>909</x:v>
      </x:c>
      <x:c r="P239" s="14" t="n">
        <x:f>M239/1000000*VLOOKUP(H239,'Model Rates'!$A$2:$C$5,2,FALSE)+N239/1000000*VLOOKUP(H239,'Model Rates'!$A$2:$C$5,3,FALSE)</x:f>
        <x:v>0.001985</x:v>
      </x:c>
      <x:c r="Q239" t="str">
        <x:v>v2.0</x:v>
      </x:c>
      <x:c r="R239" t="n">
        <x:v>0</x:v>
      </x:c>
      <x:c r="S239" s="1" t="b">
        <x:v>0</x:v>
      </x:c>
      <x:c r="T239" t="str">
        <x:v>review</x:v>
      </x:c>
      <x:c r="U239" s="16" t="n">
        <x:v>0.086</x:v>
      </x:c>
      <x:c r="V239" s="16" t="n">
        <x:v>0.905</x:v>
      </x:c>
      <x:c r="W239" s="16" t="n">
        <x:v>0.87</x:v>
      </x:c>
      <x:c r="X239" t="str">
        <x:v>none</x:v>
      </x:c>
      <x:c r="Y239" t="str"/>
    </x:row>
    <x:row r="240">
      <x:c r="A240" s="12" t="n">
        <x:v>46243.80432870371</x:v>
      </x:c>
      <x:c r="B240" t="str">
        <x:v>tr_337f1754a59f</x:v>
      </x:c>
      <x:c r="C240" t="str">
        <x:v>sp_ebed117a74</x:v>
      </x:c>
      <x:c r="D240" t="str">
        <x:v>req_8de566cb38cc</x:v>
      </x:c>
      <x:c r="E240" t="str">
        <x:v>doc-summarizer</x:v>
      </x:c>
      <x:c r="F240" t="str">
        <x:v>prod</x:v>
      </x:c>
      <x:c r="G240" t="str">
        <x:v>enterprise</x:v>
      </x:c>
      <x:c r="H240" t="str">
        <x:v>gemini-pro</x:v>
      </x:c>
      <x:c r="I240" t="str">
        <x:v>tool_agent</x:v>
      </x:c>
      <x:c r="J240" t="str">
        <x:v>error</x:v>
      </x:c>
      <x:c r="K240" t="n">
        <x:v>997</x:v>
      </x:c>
      <x:c r="L240" t="n">
        <x:v>300</x:v>
      </x:c>
      <x:c r="M240" t="n">
        <x:v>815</x:v>
      </x:c>
      <x:c r="N240" t="n">
        <x:v>169</x:v>
      </x:c>
      <x:c r="O240" t="n">
        <x:f>M240+N240</x:f>
        <x:v>984</x:v>
      </x:c>
      <x:c r="P240" s="14" t="n">
        <x:f>M240/1000000*VLOOKUP(H240,'Model Rates'!$A$2:$C$5,2,FALSE)+N240/1000000*VLOOKUP(H240,'Model Rates'!$A$2:$C$5,3,FALSE)</x:f>
        <x:v>0.00186375</x:v>
      </x:c>
      <x:c r="Q240" t="str">
        <x:v>v1.8</x:v>
      </x:c>
      <x:c r="R240" t="n">
        <x:v>1</x:v>
      </x:c>
      <x:c r="S240" s="1" t="b">
        <x:v>0</x:v>
      </x:c>
      <x:c r="T240" t="str">
        <x:v>pass</x:v>
      </x:c>
      <x:c r="U240" s="16" t="n">
        <x:v>0.156</x:v>
      </x:c>
      <x:c r="V240" s="16" t="n">
        <x:v>0.639</x:v>
      </x:c>
      <x:c r="W240" s="16" t="n">
        <x:v>0.715</x:v>
      </x:c>
      <x:c r="X240" t="str">
        <x:v>none</x:v>
      </x:c>
      <x:c r="Y240" t="str">
        <x:v>rate_limit</x:v>
      </x:c>
    </x:row>
    <x:row r="241">
      <x:c r="A241" s="12" t="n">
        <x:v>46243.804756944446</x:v>
      </x:c>
      <x:c r="B241" t="str">
        <x:v>tr_e8f583a41084</x:v>
      </x:c>
      <x:c r="C241" t="str">
        <x:v>sp_bfe057adeb</x:v>
      </x:c>
      <x:c r="D241" t="str">
        <x:v>req_6ff16f7966f2</x:v>
      </x:c>
      <x:c r="E241" t="str">
        <x:v>agent-workflow</x:v>
      </x:c>
      <x:c r="F241" t="str">
        <x:v>prod</x:v>
      </x:c>
      <x:c r="G241" t="str">
        <x:v>free</x:v>
      </x:c>
      <x:c r="H241" t="str">
        <x:v>gpt-5-mini</x:v>
      </x:c>
      <x:c r="I241" t="str">
        <x:v>summarization</x:v>
      </x:c>
      <x:c r="J241" t="str">
        <x:v>success</x:v>
      </x:c>
      <x:c r="K241" t="n">
        <x:v>1243</x:v>
      </x:c>
      <x:c r="L241" t="n">
        <x:v>153</x:v>
      </x:c>
      <x:c r="M241" t="n">
        <x:v>2501</x:v>
      </x:c>
      <x:c r="N241" t="n">
        <x:v>278</x:v>
      </x:c>
      <x:c r="O241" t="n">
        <x:f>M241+N241</x:f>
        <x:v>2779</x:v>
      </x:c>
      <x:c r="P241" s="14" t="n">
        <x:f>M241/1000000*VLOOKUP(H241,'Model Rates'!$A$2:$C$5,2,FALSE)+N241/1000000*VLOOKUP(H241,'Model Rates'!$A$2:$C$5,3,FALSE)</x:f>
        <x:v>0.0014452</x:v>
      </x:c>
      <x:c r="Q241" t="str">
        <x:v>v1.8</x:v>
      </x:c>
      <x:c r="R241" t="n">
        <x:v>0</x:v>
      </x:c>
      <x:c r="S241" s="1" t="b">
        <x:v>1</x:v>
      </x:c>
      <x:c r="T241" t="str">
        <x:v>blocked</x:v>
      </x:c>
      <x:c r="U241" s="16" t="n">
        <x:v>0.124</x:v>
      </x:c>
      <x:c r="V241" s="16" t="n">
        <x:v>0.809</x:v>
      </x:c>
      <x:c r="W241" s="16" t="n">
        <x:v>0.726</x:v>
      </x:c>
      <x:c r="X241" t="str">
        <x:v>negative</x:v>
      </x:c>
      <x:c r="Y241" t="str"/>
    </x:row>
    <x:row r="242">
      <x:c r="A242" s="12" t="n">
        <x:v>46243.80559027778</x:v>
      </x:c>
      <x:c r="B242" t="str">
        <x:v>tr_050e3aff832a</x:v>
      </x:c>
      <x:c r="C242" t="str">
        <x:v>sp_e82857cc69</x:v>
      </x:c>
      <x:c r="D242" t="str">
        <x:v>req_f0e71e31e688</x:v>
      </x:c>
      <x:c r="E242" t="str">
        <x:v>support-copilot</x:v>
      </x:c>
      <x:c r="F242" t="str">
        <x:v>prod</x:v>
      </x:c>
      <x:c r="G242" t="str">
        <x:v>free</x:v>
      </x:c>
      <x:c r="H242" t="str">
        <x:v>gpt-5-mini</x:v>
      </x:c>
      <x:c r="I242" t="str">
        <x:v>summarization</x:v>
      </x:c>
      <x:c r="J242" t="str">
        <x:v>success</x:v>
      </x:c>
      <x:c r="K242" t="n">
        <x:v>1228</x:v>
      </x:c>
      <x:c r="L242" t="n">
        <x:v>210</x:v>
      </x:c>
      <x:c r="M242" t="n">
        <x:v>725</x:v>
      </x:c>
      <x:c r="N242" t="n">
        <x:v>261</x:v>
      </x:c>
      <x:c r="O242" t="n">
        <x:f>M242+N242</x:f>
        <x:v>986</x:v>
      </x:c>
      <x:c r="P242" s="14" t="n">
        <x:f>M242/1000000*VLOOKUP(H242,'Model Rates'!$A$2:$C$5,2,FALSE)+N242/1000000*VLOOKUP(H242,'Model Rates'!$A$2:$C$5,3,FALSE)</x:f>
        <x:v>0.0007076000000000001</x:v>
      </x:c>
      <x:c r="Q242" t="str">
        <x:v>v1.9</x:v>
      </x:c>
      <x:c r="R242" t="n">
        <x:v>0</x:v>
      </x:c>
      <x:c r="S242" s="1" t="b">
        <x:v>1</x:v>
      </x:c>
      <x:c r="T242" t="str">
        <x:v>review</x:v>
      </x:c>
      <x:c r="U242" s="16" t="n">
        <x:v>0.144</x:v>
      </x:c>
      <x:c r="V242" s="16" t="n">
        <x:v>0.801</x:v>
      </x:c>
      <x:c r="W242" s="16" t="n">
        <x:v>1</x:v>
      </x:c>
      <x:c r="X242" t="str">
        <x:v>none</x:v>
      </x:c>
      <x:c r="Y242" t="str"/>
    </x:row>
    <x:row r="243">
      <x:c r="A243" s="12" t="n">
        <x:v>46243.812569444446</x:v>
      </x:c>
      <x:c r="B243" t="str">
        <x:v>tr_4a9e9973c363</x:v>
      </x:c>
      <x:c r="C243" t="str">
        <x:v>sp_acee05a1ac</x:v>
      </x:c>
      <x:c r="D243" t="str">
        <x:v>req_01adf129a4da</x:v>
      </x:c>
      <x:c r="E243" t="str">
        <x:v>search-assistant</x:v>
      </x:c>
      <x:c r="F243" t="str">
        <x:v>prod</x:v>
      </x:c>
      <x:c r="G243" t="str">
        <x:v>free</x:v>
      </x:c>
      <x:c r="H243" t="str">
        <x:v>claude-sonnet</x:v>
      </x:c>
      <x:c r="I243" t="str">
        <x:v>chat_completion</x:v>
      </x:c>
      <x:c r="J243" t="str">
        <x:v>error</x:v>
      </x:c>
      <x:c r="K243" t="n">
        <x:v>439</x:v>
      </x:c>
      <x:c r="L243" t="n">
        <x:v>433</x:v>
      </x:c>
      <x:c r="M243" t="n">
        <x:v>1445</x:v>
      </x:c>
      <x:c r="N243" t="n">
        <x:v>636</x:v>
      </x:c>
      <x:c r="O243" t="n">
        <x:f>M243+N243</x:f>
        <x:v>2081</x:v>
      </x:c>
      <x:c r="P243" s="14" t="n">
        <x:f>M243/1000000*VLOOKUP(H243,'Model Rates'!$A$2:$C$5,2,FALSE)+N243/1000000*VLOOKUP(H243,'Model Rates'!$A$2:$C$5,3,FALSE)</x:f>
        <x:v>0.013875</x:v>
      </x:c>
      <x:c r="Q243" t="str">
        <x:v>v1.9</x:v>
      </x:c>
      <x:c r="R243" t="n">
        <x:v>0</x:v>
      </x:c>
      <x:c r="S243" s="1" t="b">
        <x:v>0</x:v>
      </x:c>
      <x:c r="T243" t="str">
        <x:v>pass</x:v>
      </x:c>
      <x:c r="U243" s="16" t="n">
        <x:v>0.212</x:v>
      </x:c>
      <x:c r="V243" s="16" t="n">
        <x:v>0.601</x:v>
      </x:c>
      <x:c r="W243" s="16" t="n">
        <x:v>0.653</x:v>
      </x:c>
      <x:c r="X243" t="str">
        <x:v>none</x:v>
      </x:c>
      <x:c r="Y243" t="str">
        <x:v>provider_5xx</x:v>
      </x:c>
    </x:row>
    <x:row r="244">
      <x:c r="A244" s="12" t="n">
        <x:v>46243.81949074074</x:v>
      </x:c>
      <x:c r="B244" t="str">
        <x:v>tr_c29c62badc4b</x:v>
      </x:c>
      <x:c r="C244" t="str">
        <x:v>sp_9864045e89</x:v>
      </x:c>
      <x:c r="D244" t="str">
        <x:v>req_05407753c36a</x:v>
      </x:c>
      <x:c r="E244" t="str">
        <x:v>search-assistant</x:v>
      </x:c>
      <x:c r="F244" t="str">
        <x:v>prod</x:v>
      </x:c>
      <x:c r="G244" t="str">
        <x:v>pro</x:v>
      </x:c>
      <x:c r="H244" t="str">
        <x:v>gpt-5-mini</x:v>
      </x:c>
      <x:c r="I244" t="str">
        <x:v>retrieval_answer</x:v>
      </x:c>
      <x:c r="J244" t="str">
        <x:v>error</x:v>
      </x:c>
      <x:c r="K244" t="n">
        <x:v>868</x:v>
      </x:c>
      <x:c r="L244" t="n">
        <x:v>309</x:v>
      </x:c>
      <x:c r="M244" t="n">
        <x:v>6346</x:v>
      </x:c>
      <x:c r="N244" t="n">
        <x:v>132</x:v>
      </x:c>
      <x:c r="O244" t="n">
        <x:f>M244+N244</x:f>
        <x:v>6478</x:v>
      </x:c>
      <x:c r="P244" s="14" t="n">
        <x:f>M244/1000000*VLOOKUP(H244,'Model Rates'!$A$2:$C$5,2,FALSE)+N244/1000000*VLOOKUP(H244,'Model Rates'!$A$2:$C$5,3,FALSE)</x:f>
        <x:v>0.0027496</x:v>
      </x:c>
      <x:c r="Q244" t="str">
        <x:v>v1.9</x:v>
      </x:c>
      <x:c r="R244" t="n">
        <x:v>0</x:v>
      </x:c>
      <x:c r="S244" s="1" t="b">
        <x:v>0</x:v>
      </x:c>
      <x:c r="T244" t="str">
        <x:v>blocked</x:v>
      </x:c>
      <x:c r="U244" s="16" t="n">
        <x:v>0.233</x:v>
      </x:c>
      <x:c r="V244" s="16" t="n">
        <x:v>0.603</x:v>
      </x:c>
      <x:c r="W244" s="16" t="n">
        <x:v>0.686</x:v>
      </x:c>
      <x:c r="X244" t="str">
        <x:v>none</x:v>
      </x:c>
      <x:c r="Y244" t="str">
        <x:v>tool_error</x:v>
      </x:c>
    </x:row>
    <x:row r="245">
      <x:c r="A245" s="12" t="n">
        <x:v>46243.81952546296</x:v>
      </x:c>
      <x:c r="B245" t="str">
        <x:v>tr_2f4e1f8539a7</x:v>
      </x:c>
      <x:c r="C245" t="str">
        <x:v>sp_28409d0e02</x:v>
      </x:c>
      <x:c r="D245" t="str">
        <x:v>req_b1301829cd8a</x:v>
      </x:c>
      <x:c r="E245" t="str">
        <x:v>search-assistant</x:v>
      </x:c>
      <x:c r="F245" t="str">
        <x:v>prod</x:v>
      </x:c>
      <x:c r="G245" t="str">
        <x:v>enterprise</x:v>
      </x:c>
      <x:c r="H245" t="str">
        <x:v>gpt-5-mini</x:v>
      </x:c>
      <x:c r="I245" t="str">
        <x:v>tool_agent</x:v>
      </x:c>
      <x:c r="J245" t="str">
        <x:v>success</x:v>
      </x:c>
      <x:c r="K245" t="n">
        <x:v>1555</x:v>
      </x:c>
      <x:c r="L245" t="n">
        <x:v>147</x:v>
      </x:c>
      <x:c r="M245" t="n">
        <x:v>603</x:v>
      </x:c>
      <x:c r="N245" t="n">
        <x:v>420</x:v>
      </x:c>
      <x:c r="O245" t="n">
        <x:f>M245+N245</x:f>
        <x:v>1023</x:v>
      </x:c>
      <x:c r="P245" s="14" t="n">
        <x:f>M245/1000000*VLOOKUP(H245,'Model Rates'!$A$2:$C$5,2,FALSE)+N245/1000000*VLOOKUP(H245,'Model Rates'!$A$2:$C$5,3,FALSE)</x:f>
        <x:v>0.0009132000000000001</x:v>
      </x:c>
      <x:c r="Q245" t="str">
        <x:v>v1.9</x:v>
      </x:c>
      <x:c r="R245" t="n">
        <x:v>1</x:v>
      </x:c>
      <x:c r="S245" s="1" t="b">
        <x:v>0</x:v>
      </x:c>
      <x:c r="T245" t="str">
        <x:v>review</x:v>
      </x:c>
      <x:c r="U245" s="16" t="n">
        <x:v>0.058</x:v>
      </x:c>
      <x:c r="V245" s="16" t="n">
        <x:v>0.922</x:v>
      </x:c>
      <x:c r="W245" s="16" t="n">
        <x:v>1</x:v>
      </x:c>
      <x:c r="X245" t="str">
        <x:v>none</x:v>
      </x:c>
      <x:c r="Y245" t="str"/>
    </x:row>
    <x:row r="246">
      <x:c r="A246" s="12" t="n">
        <x:v>46243.82912037037</x:v>
      </x:c>
      <x:c r="B246" t="str">
        <x:v>tr_811913422cdc</x:v>
      </x:c>
      <x:c r="C246" t="str">
        <x:v>sp_30e97762c5</x:v>
      </x:c>
      <x:c r="D246" t="str">
        <x:v>req_9341721fbe67</x:v>
      </x:c>
      <x:c r="E246" t="str">
        <x:v>support-copilot</x:v>
      </x:c>
      <x:c r="F246" t="str">
        <x:v>prod</x:v>
      </x:c>
      <x:c r="G246" t="str">
        <x:v>enterprise</x:v>
      </x:c>
      <x:c r="H246" t="str">
        <x:v>gpt-5</x:v>
      </x:c>
      <x:c r="I246" t="str">
        <x:v>chat_completion</x:v>
      </x:c>
      <x:c r="J246" t="str">
        <x:v>success</x:v>
      </x:c>
      <x:c r="K246" t="n">
        <x:v>1790</x:v>
      </x:c>
      <x:c r="L246" t="n">
        <x:v>420</x:v>
      </x:c>
      <x:c r="M246" t="n">
        <x:v>1430</x:v>
      </x:c>
      <x:c r="N246" t="n">
        <x:v>395</x:v>
      </x:c>
      <x:c r="O246" t="n">
        <x:f>M246+N246</x:f>
        <x:v>1825</x:v>
      </x:c>
      <x:c r="P246" s="14" t="n">
        <x:f>M246/1000000*VLOOKUP(H246,'Model Rates'!$A$2:$C$5,2,FALSE)+N246/1000000*VLOOKUP(H246,'Model Rates'!$A$2:$C$5,3,FALSE)</x:f>
        <x:v>0.0057375</x:v>
      </x:c>
      <x:c r="Q246" t="str">
        <x:v>v1.9</x:v>
      </x:c>
      <x:c r="R246" t="n">
        <x:v>1</x:v>
      </x:c>
      <x:c r="S246" s="1" t="b">
        <x:v>1</x:v>
      </x:c>
      <x:c r="T246" t="str">
        <x:v>blocked</x:v>
      </x:c>
      <x:c r="U246" s="16" t="n">
        <x:v>0.073</x:v>
      </x:c>
      <x:c r="V246" s="16" t="n">
        <x:v>1</x:v>
      </x:c>
      <x:c r="W246" s="16" t="n">
        <x:v>0.762</x:v>
      </x:c>
      <x:c r="X246" t="str">
        <x:v>none</x:v>
      </x:c>
      <x:c r="Y246" t="str"/>
    </x:row>
    <x:row r="247">
      <x:c r="A247" s="12" t="n">
        <x:v>46243.8325462963</x:v>
      </x:c>
      <x:c r="B247" t="str">
        <x:v>tr_3c104051b5d5</x:v>
      </x:c>
      <x:c r="C247" t="str">
        <x:v>sp_2504b5e621</x:v>
      </x:c>
      <x:c r="D247" t="str">
        <x:v>req_f9897ff179df</x:v>
      </x:c>
      <x:c r="E247" t="str">
        <x:v>agent-workflow</x:v>
      </x:c>
      <x:c r="F247" t="str">
        <x:v>prod</x:v>
      </x:c>
      <x:c r="G247" t="str">
        <x:v>free</x:v>
      </x:c>
      <x:c r="H247" t="str">
        <x:v>gemini-pro</x:v>
      </x:c>
      <x:c r="I247" t="str">
        <x:v>summarization</x:v>
      </x:c>
      <x:c r="J247" t="str">
        <x:v>success</x:v>
      </x:c>
      <x:c r="K247" t="n">
        <x:v>1163</x:v>
      </x:c>
      <x:c r="L247" t="n">
        <x:v>181</x:v>
      </x:c>
      <x:c r="M247" t="n">
        <x:v>539</x:v>
      </x:c>
      <x:c r="N247" t="n">
        <x:v>368</x:v>
      </x:c>
      <x:c r="O247" t="n">
        <x:f>M247+N247</x:f>
        <x:v>907</x:v>
      </x:c>
      <x:c r="P247" s="14" t="n">
        <x:f>M247/1000000*VLOOKUP(H247,'Model Rates'!$A$2:$C$5,2,FALSE)+N247/1000000*VLOOKUP(H247,'Model Rates'!$A$2:$C$5,3,FALSE)</x:f>
        <x:v>0.00251375</x:v>
      </x:c>
      <x:c r="Q247" t="str">
        <x:v>v2.0</x:v>
      </x:c>
      <x:c r="R247" t="n">
        <x:v>0</x:v>
      </x:c>
      <x:c r="S247" s="1" t="b">
        <x:v>0</x:v>
      </x:c>
      <x:c r="T247" t="str">
        <x:v>review</x:v>
      </x:c>
      <x:c r="U247" s="16" t="n">
        <x:v>0.119</x:v>
      </x:c>
      <x:c r="V247" s="16" t="n">
        <x:v>0.9</x:v>
      </x:c>
      <x:c r="W247" s="16" t="n">
        <x:v>0.863</x:v>
      </x:c>
      <x:c r="X247" t="str">
        <x:v>negative</x:v>
      </x:c>
      <x:c r="Y247" t="str"/>
    </x:row>
    <x:row r="248">
      <x:c r="A248" s="12" t="n">
        <x:v>46243.84222222222</x:v>
      </x:c>
      <x:c r="B248" t="str">
        <x:v>tr_9a1cf19cb44d</x:v>
      </x:c>
      <x:c r="C248" t="str">
        <x:v>sp_3a87ab2f5d</x:v>
      </x:c>
      <x:c r="D248" t="str">
        <x:v>req_ef72e6f5a6ef</x:v>
      </x:c>
      <x:c r="E248" t="str">
        <x:v>agent-workflow</x:v>
      </x:c>
      <x:c r="F248" t="str">
        <x:v>prod</x:v>
      </x:c>
      <x:c r="G248" t="str">
        <x:v>pro</x:v>
      </x:c>
      <x:c r="H248" t="str">
        <x:v>claude-sonnet</x:v>
      </x:c>
      <x:c r="I248" t="str">
        <x:v>chat_completion</x:v>
      </x:c>
      <x:c r="J248" t="str">
        <x:v>success</x:v>
      </x:c>
      <x:c r="K248" t="n">
        <x:v>1580</x:v>
      </x:c>
      <x:c r="L248" t="n">
        <x:v>338</x:v>
      </x:c>
      <x:c r="M248" t="n">
        <x:v>525</x:v>
      </x:c>
      <x:c r="N248" t="n">
        <x:v>337</x:v>
      </x:c>
      <x:c r="O248" t="n">
        <x:f>M248+N248</x:f>
        <x:v>862</x:v>
      </x:c>
      <x:c r="P248" s="14" t="n">
        <x:f>M248/1000000*VLOOKUP(H248,'Model Rates'!$A$2:$C$5,2,FALSE)+N248/1000000*VLOOKUP(H248,'Model Rates'!$A$2:$C$5,3,FALSE)</x:f>
        <x:v>0.0066300000000000005</x:v>
      </x:c>
      <x:c r="Q248" t="str">
        <x:v>v1.9</x:v>
      </x:c>
      <x:c r="R248" t="n">
        <x:v>1</x:v>
      </x:c>
      <x:c r="S248" s="1" t="b">
        <x:v>0</x:v>
      </x:c>
      <x:c r="T248" t="str">
        <x:v>pass</x:v>
      </x:c>
      <x:c r="U248" s="16" t="n">
        <x:v>0.062</x:v>
      </x:c>
      <x:c r="V248" s="16" t="n">
        <x:v>0.841</x:v>
      </x:c>
      <x:c r="W248" s="16" t="n">
        <x:v>0.957</x:v>
      </x:c>
      <x:c r="X248" t="str">
        <x:v>none</x:v>
      </x:c>
      <x:c r="Y248" t="str"/>
    </x:row>
    <x:row r="249">
      <x:c r="A249" s="12" t="n">
        <x:v>46243.84490740741</x:v>
      </x:c>
      <x:c r="B249" t="str">
        <x:v>tr_137cd7ffb756</x:v>
      </x:c>
      <x:c r="C249" t="str">
        <x:v>sp_728651baad</x:v>
      </x:c>
      <x:c r="D249" t="str">
        <x:v>req_d6c232d1ac7b</x:v>
      </x:c>
      <x:c r="E249" t="str">
        <x:v>doc-summarizer</x:v>
      </x:c>
      <x:c r="F249" t="str">
        <x:v>prod</x:v>
      </x:c>
      <x:c r="G249" t="str">
        <x:v>pro</x:v>
      </x:c>
      <x:c r="H249" t="str">
        <x:v>gpt-5-mini</x:v>
      </x:c>
      <x:c r="I249" t="str">
        <x:v>tool_agent</x:v>
      </x:c>
      <x:c r="J249" t="str">
        <x:v>success</x:v>
      </x:c>
      <x:c r="K249" t="n">
        <x:v>1722</x:v>
      </x:c>
      <x:c r="L249" t="n">
        <x:v>80</x:v>
      </x:c>
      <x:c r="M249" t="n">
        <x:v>807</x:v>
      </x:c>
      <x:c r="N249" t="n">
        <x:v>639</x:v>
      </x:c>
      <x:c r="O249" t="n">
        <x:f>M249+N249</x:f>
        <x:v>1446</x:v>
      </x:c>
      <x:c r="P249" s="14" t="n">
        <x:f>M249/1000000*VLOOKUP(H249,'Model Rates'!$A$2:$C$5,2,FALSE)+N249/1000000*VLOOKUP(H249,'Model Rates'!$A$2:$C$5,3,FALSE)</x:f>
        <x:v>0.0013452000000000002</x:v>
      </x:c>
      <x:c r="Q249" t="str">
        <x:v>v1.9</x:v>
      </x:c>
      <x:c r="R249" t="n">
        <x:v>1</x:v>
      </x:c>
      <x:c r="S249" s="1" t="b">
        <x:v>1</x:v>
      </x:c>
      <x:c r="T249" t="str">
        <x:v>pass</x:v>
      </x:c>
      <x:c r="U249" s="16" t="n">
        <x:v>0.132</x:v>
      </x:c>
      <x:c r="V249" s="16" t="n">
        <x:v>0.901</x:v>
      </x:c>
      <x:c r="W249" s="16" t="n">
        <x:v>0.852</x:v>
      </x:c>
      <x:c r="X249" t="str">
        <x:v>none</x:v>
      </x:c>
      <x:c r="Y249" t="str"/>
    </x:row>
    <x:row r="250">
      <x:c r="A250" s="12" t="n">
        <x:v>46243.847708333335</x:v>
      </x:c>
      <x:c r="B250" t="str">
        <x:v>tr_64dd458c1abb</x:v>
      </x:c>
      <x:c r="C250" t="str">
        <x:v>sp_114ca11c03</x:v>
      </x:c>
      <x:c r="D250" t="str">
        <x:v>req_0aa95efc0e67</x:v>
      </x:c>
      <x:c r="E250" t="str">
        <x:v>doc-summarizer</x:v>
      </x:c>
      <x:c r="F250" t="str">
        <x:v>prod</x:v>
      </x:c>
      <x:c r="G250" t="str">
        <x:v>free</x:v>
      </x:c>
      <x:c r="H250" t="str">
        <x:v>gpt-5</x:v>
      </x:c>
      <x:c r="I250" t="str">
        <x:v>chat_completion</x:v>
      </x:c>
      <x:c r="J250" t="str">
        <x:v>error</x:v>
      </x:c>
      <x:c r="K250" t="n">
        <x:v>1166</x:v>
      </x:c>
      <x:c r="L250" t="n">
        <x:v>404</x:v>
      </x:c>
      <x:c r="M250" t="n">
        <x:v>1639</x:v>
      </x:c>
      <x:c r="N250" t="n">
        <x:v>135</x:v>
      </x:c>
      <x:c r="O250" t="n">
        <x:f>M250+N250</x:f>
        <x:v>1774</x:v>
      </x:c>
      <x:c r="P250" s="14" t="n">
        <x:f>M250/1000000*VLOOKUP(H250,'Model Rates'!$A$2:$C$5,2,FALSE)+N250/1000000*VLOOKUP(H250,'Model Rates'!$A$2:$C$5,3,FALSE)</x:f>
        <x:v>0.0033987500000000003</x:v>
      </x:c>
      <x:c r="Q250" t="str">
        <x:v>v1.9</x:v>
      </x:c>
      <x:c r="R250" t="n">
        <x:v>0</x:v>
      </x:c>
      <x:c r="S250" s="1" t="b">
        <x:v>0</x:v>
      </x:c>
      <x:c r="T250" t="str">
        <x:v>pass</x:v>
      </x:c>
      <x:c r="U250" s="16" t="n">
        <x:v>0.149</x:v>
      </x:c>
      <x:c r="V250" s="16" t="n">
        <x:v>0.681</x:v>
      </x:c>
      <x:c r="W250" s="16" t="n">
        <x:v>0.654</x:v>
      </x:c>
      <x:c r="X250" t="str">
        <x:v>none</x:v>
      </x:c>
      <x:c r="Y250" t="str">
        <x:v>rate_limit</x:v>
      </x:c>
    </x:row>
    <x:row r="251">
      <x:c r="A251" s="12" t="n">
        <x:v>46243.84883101852</x:v>
      </x:c>
      <x:c r="B251" t="str">
        <x:v>tr_741049269f2b</x:v>
      </x:c>
      <x:c r="C251" t="str">
        <x:v>sp_d23fec84b1</x:v>
      </x:c>
      <x:c r="D251" t="str">
        <x:v>req_f858138c78fb</x:v>
      </x:c>
      <x:c r="E251" t="str">
        <x:v>search-assistant</x:v>
      </x:c>
      <x:c r="F251" t="str">
        <x:v>prod</x:v>
      </x:c>
      <x:c r="G251" t="str">
        <x:v>free</x:v>
      </x:c>
      <x:c r="H251" t="str">
        <x:v>gemini-pro</x:v>
      </x:c>
      <x:c r="I251" t="str">
        <x:v>retrieval_answer</x:v>
      </x:c>
      <x:c r="J251" t="str">
        <x:v>success</x:v>
      </x:c>
      <x:c r="K251" t="n">
        <x:v>1019</x:v>
      </x:c>
      <x:c r="L251" t="n">
        <x:v>459</x:v>
      </x:c>
      <x:c r="M251" t="n">
        <x:v>565</x:v>
      </x:c>
      <x:c r="N251" t="n">
        <x:v>201</x:v>
      </x:c>
      <x:c r="O251" t="n">
        <x:f>M251+N251</x:f>
        <x:v>766</x:v>
      </x:c>
      <x:c r="P251" s="14" t="n">
        <x:f>M251/1000000*VLOOKUP(H251,'Model Rates'!$A$2:$C$5,2,FALSE)+N251/1000000*VLOOKUP(H251,'Model Rates'!$A$2:$C$5,3,FALSE)</x:f>
        <x:v>0.00171125</x:v>
      </x:c>
      <x:c r="Q251" t="str">
        <x:v>v1.8</x:v>
      </x:c>
      <x:c r="R251" t="n">
        <x:v>0</x:v>
      </x:c>
      <x:c r="S251" s="1" t="b">
        <x:v>0</x:v>
      </x:c>
      <x:c r="T251" t="str">
        <x:v>pass</x:v>
      </x:c>
      <x:c r="U251" s="16" t="n">
        <x:v>0.022</x:v>
      </x:c>
      <x:c r="V251" s="16" t="n">
        <x:v>0.881</x:v>
      </x:c>
      <x:c r="W251" s="16" t="n">
        <x:v>0.733</x:v>
      </x:c>
      <x:c r="X251" t="str">
        <x:v>positive</x:v>
      </x:c>
      <x:c r="Y251" t="str"/>
    </x:row>
    <x:row r="252">
      <x:c r="A252" s="12" t="n">
        <x:v>46243.85994212963</x:v>
      </x:c>
      <x:c r="B252" t="str">
        <x:v>tr_fb585ae19115</x:v>
      </x:c>
      <x:c r="C252" t="str">
        <x:v>sp_94fdbbe0b0</x:v>
      </x:c>
      <x:c r="D252" t="str">
        <x:v>req_3af36295c53f</x:v>
      </x:c>
      <x:c r="E252" t="str">
        <x:v>doc-summarizer</x:v>
      </x:c>
      <x:c r="F252" t="str">
        <x:v>staging</x:v>
      </x:c>
      <x:c r="G252" t="str">
        <x:v>free</x:v>
      </x:c>
      <x:c r="H252" t="str">
        <x:v>gpt-5-mini</x:v>
      </x:c>
      <x:c r="I252" t="str">
        <x:v>summarization</x:v>
      </x:c>
      <x:c r="J252" t="str">
        <x:v>success</x:v>
      </x:c>
      <x:c r="K252" t="n">
        <x:v>1348</x:v>
      </x:c>
      <x:c r="L252" t="n">
        <x:v>220</x:v>
      </x:c>
      <x:c r="M252" t="n">
        <x:v>643</x:v>
      </x:c>
      <x:c r="N252" t="n">
        <x:v>388</x:v>
      </x:c>
      <x:c r="O252" t="n">
        <x:f>M252+N252</x:f>
        <x:v>1031</x:v>
      </x:c>
      <x:c r="P252" s="14" t="n">
        <x:f>M252/1000000*VLOOKUP(H252,'Model Rates'!$A$2:$C$5,2,FALSE)+N252/1000000*VLOOKUP(H252,'Model Rates'!$A$2:$C$5,3,FALSE)</x:f>
        <x:v>0.0008780000000000001</x:v>
      </x:c>
      <x:c r="Q252" t="str">
        <x:v>v2.0</x:v>
      </x:c>
      <x:c r="R252" t="n">
        <x:v>1</x:v>
      </x:c>
      <x:c r="S252" s="1" t="b">
        <x:v>1</x:v>
      </x:c>
      <x:c r="T252" t="str">
        <x:v>pass</x:v>
      </x:c>
      <x:c r="U252" s="16" t="n">
        <x:v>0</x:v>
      </x:c>
      <x:c r="V252" s="16" t="n">
        <x:v>0.716</x:v>
      </x:c>
      <x:c r="W252" s="16" t="n">
        <x:v>0.88</x:v>
      </x:c>
      <x:c r="X252" t="str">
        <x:v>positive</x:v>
      </x:c>
      <x:c r="Y252" t="str"/>
    </x:row>
    <x:row r="253">
      <x:c r="A253" s="12" t="n">
        <x:v>46243.863344907404</x:v>
      </x:c>
      <x:c r="B253" t="str">
        <x:v>tr_ac3a6143a068</x:v>
      </x:c>
      <x:c r="C253" t="str">
        <x:v>sp_90c3c989ea</x:v>
      </x:c>
      <x:c r="D253" t="str">
        <x:v>req_29a6ad6dce6b</x:v>
      </x:c>
      <x:c r="E253" t="str">
        <x:v>support-copilot</x:v>
      </x:c>
      <x:c r="F253" t="str">
        <x:v>prod</x:v>
      </x:c>
      <x:c r="G253" t="str">
        <x:v>free</x:v>
      </x:c>
      <x:c r="H253" t="str">
        <x:v>gpt-5-mini</x:v>
      </x:c>
      <x:c r="I253" t="str">
        <x:v>summarization</x:v>
      </x:c>
      <x:c r="J253" t="str">
        <x:v>success</x:v>
      </x:c>
      <x:c r="K253" t="n">
        <x:v>2104</x:v>
      </x:c>
      <x:c r="L253" t="n">
        <x:v>265</x:v>
      </x:c>
      <x:c r="M253" t="n">
        <x:v>843</x:v>
      </x:c>
      <x:c r="N253" t="n">
        <x:v>155</x:v>
      </x:c>
      <x:c r="O253" t="n">
        <x:f>M253+N253</x:f>
        <x:v>998</x:v>
      </x:c>
      <x:c r="P253" s="14" t="n">
        <x:f>M253/1000000*VLOOKUP(H253,'Model Rates'!$A$2:$C$5,2,FALSE)+N253/1000000*VLOOKUP(H253,'Model Rates'!$A$2:$C$5,3,FALSE)</x:f>
        <x:v>0.0005852</x:v>
      </x:c>
      <x:c r="Q253" t="str">
        <x:v>v1.8</x:v>
      </x:c>
      <x:c r="R253" t="n">
        <x:v>2</x:v>
      </x:c>
      <x:c r="S253" s="1" t="b">
        <x:v>0</x:v>
      </x:c>
      <x:c r="T253" t="str">
        <x:v>blocked</x:v>
      </x:c>
      <x:c r="U253" s="16" t="n">
        <x:v>0.129</x:v>
      </x:c>
      <x:c r="V253" s="16" t="n">
        <x:v>0.871</x:v>
      </x:c>
      <x:c r="W253" s="16" t="n">
        <x:v>0.827</x:v>
      </x:c>
      <x:c r="X253" t="str">
        <x:v>positive</x:v>
      </x:c>
      <x:c r="Y253" t="str"/>
    </x:row>
    <x:row r="254">
      <x:c r="A254" s="12" t="n">
        <x:v>46243.86350694444</x:v>
      </x:c>
      <x:c r="B254" t="str">
        <x:v>tr_5b433e98511e</x:v>
      </x:c>
      <x:c r="C254" t="str">
        <x:v>sp_6317f0098b</x:v>
      </x:c>
      <x:c r="D254" t="str">
        <x:v>req_669bedbeecc8</x:v>
      </x:c>
      <x:c r="E254" t="str">
        <x:v>agent-workflow</x:v>
      </x:c>
      <x:c r="F254" t="str">
        <x:v>prod</x:v>
      </x:c>
      <x:c r="G254" t="str">
        <x:v>pro</x:v>
      </x:c>
      <x:c r="H254" t="str">
        <x:v>gemini-pro</x:v>
      </x:c>
      <x:c r="I254" t="str">
        <x:v>retrieval_answer</x:v>
      </x:c>
      <x:c r="J254" t="str">
        <x:v>success</x:v>
      </x:c>
      <x:c r="K254" t="n">
        <x:v>1287</x:v>
      </x:c>
      <x:c r="L254" t="n">
        <x:v>268</x:v>
      </x:c>
      <x:c r="M254" t="n">
        <x:v>2240</x:v>
      </x:c>
      <x:c r="N254" t="n">
        <x:v>258</x:v>
      </x:c>
      <x:c r="O254" t="n">
        <x:f>M254+N254</x:f>
        <x:v>2498</x:v>
      </x:c>
      <x:c r="P254" s="14" t="n">
        <x:f>M254/1000000*VLOOKUP(H254,'Model Rates'!$A$2:$C$5,2,FALSE)+N254/1000000*VLOOKUP(H254,'Model Rates'!$A$2:$C$5,3,FALSE)</x:f>
        <x:v>0.00409</x:v>
      </x:c>
      <x:c r="Q254" t="str">
        <x:v>v2.0</x:v>
      </x:c>
      <x:c r="R254" t="n">
        <x:v>0</x:v>
      </x:c>
      <x:c r="S254" s="1" t="b">
        <x:v>0</x:v>
      </x:c>
      <x:c r="T254" t="str">
        <x:v>blocked</x:v>
      </x:c>
      <x:c r="U254" s="16" t="n">
        <x:v>0.001</x:v>
      </x:c>
      <x:c r="V254" s="16" t="n">
        <x:v>0.961</x:v>
      </x:c>
      <x:c r="W254" s="16" t="n">
        <x:v>0.934</x:v>
      </x:c>
      <x:c r="X254" t="str">
        <x:v>none</x:v>
      </x:c>
      <x:c r="Y254" t="str"/>
    </x:row>
    <x:row r="255">
      <x:c r="A255" s="12" t="n">
        <x:v>46243.86571759259</x:v>
      </x:c>
      <x:c r="B255" t="str">
        <x:v>tr_05b1b73d001e</x:v>
      </x:c>
      <x:c r="C255" t="str">
        <x:v>sp_e1f5640bbb</x:v>
      </x:c>
      <x:c r="D255" t="str">
        <x:v>req_2cb2f9833e4b</x:v>
      </x:c>
      <x:c r="E255" t="str">
        <x:v>search-assistant</x:v>
      </x:c>
      <x:c r="F255" t="str">
        <x:v>prod</x:v>
      </x:c>
      <x:c r="G255" t="str">
        <x:v>pro</x:v>
      </x:c>
      <x:c r="H255" t="str">
        <x:v>gemini-pro</x:v>
      </x:c>
      <x:c r="I255" t="str">
        <x:v>tool_agent</x:v>
      </x:c>
      <x:c r="J255" t="str">
        <x:v>success</x:v>
      </x:c>
      <x:c r="K255" t="n">
        <x:v>1499</x:v>
      </x:c>
      <x:c r="L255" t="n">
        <x:v>126</x:v>
      </x:c>
      <x:c r="M255" t="n">
        <x:v>499</x:v>
      </x:c>
      <x:c r="N255" t="n">
        <x:v>287</x:v>
      </x:c>
      <x:c r="O255" t="n">
        <x:f>M255+N255</x:f>
        <x:v>786</x:v>
      </x:c>
      <x:c r="P255" s="14" t="n">
        <x:f>M255/1000000*VLOOKUP(H255,'Model Rates'!$A$2:$C$5,2,FALSE)+N255/1000000*VLOOKUP(H255,'Model Rates'!$A$2:$C$5,3,FALSE)</x:f>
        <x:v>0.00205875</x:v>
      </x:c>
      <x:c r="Q255" t="str">
        <x:v>v2.0</x:v>
      </x:c>
      <x:c r="R255" t="n">
        <x:v>1</x:v>
      </x:c>
      <x:c r="S255" s="1" t="b">
        <x:v>1</x:v>
      </x:c>
      <x:c r="T255" t="str">
        <x:v>blocked</x:v>
      </x:c>
      <x:c r="U255" s="16" t="n">
        <x:v>0.152</x:v>
      </x:c>
      <x:c r="V255" s="16" t="n">
        <x:v>1</x:v>
      </x:c>
      <x:c r="W255" s="16" t="n">
        <x:v>0.803</x:v>
      </x:c>
      <x:c r="X255" t="str">
        <x:v>none</x:v>
      </x:c>
      <x:c r="Y255" t="str"/>
    </x:row>
    <x:row r="256">
      <x:c r="A256" s="12" t="n">
        <x:v>46243.87090277778</x:v>
      </x:c>
      <x:c r="B256" t="str">
        <x:v>tr_909becdded30</x:v>
      </x:c>
      <x:c r="C256" t="str">
        <x:v>sp_a8b98a2ef0</x:v>
      </x:c>
      <x:c r="D256" t="str">
        <x:v>req_f787ec869473</x:v>
      </x:c>
      <x:c r="E256" t="str">
        <x:v>support-copilot</x:v>
      </x:c>
      <x:c r="F256" t="str">
        <x:v>prod</x:v>
      </x:c>
      <x:c r="G256" t="str">
        <x:v>enterprise</x:v>
      </x:c>
      <x:c r="H256" t="str">
        <x:v>gpt-5-mini</x:v>
      </x:c>
      <x:c r="I256" t="str">
        <x:v>retrieval_answer</x:v>
      </x:c>
      <x:c r="J256" t="str">
        <x:v>success</x:v>
      </x:c>
      <x:c r="K256" t="n">
        <x:v>1985</x:v>
      </x:c>
      <x:c r="L256" t="n">
        <x:v>207</x:v>
      </x:c>
      <x:c r="M256" t="n">
        <x:v>789</x:v>
      </x:c>
      <x:c r="N256" t="n">
        <x:v>184</x:v>
      </x:c>
      <x:c r="O256" t="n">
        <x:f>M256+N256</x:f>
        <x:v>973</x:v>
      </x:c>
      <x:c r="P256" s="14" t="n">
        <x:f>M256/1000000*VLOOKUP(H256,'Model Rates'!$A$2:$C$5,2,FALSE)+N256/1000000*VLOOKUP(H256,'Model Rates'!$A$2:$C$5,3,FALSE)</x:f>
        <x:v>0.0006100000000000001</x:v>
      </x:c>
      <x:c r="Q256" t="str">
        <x:v>v2.0</x:v>
      </x:c>
      <x:c r="R256" t="n">
        <x:v>2</x:v>
      </x:c>
      <x:c r="S256" s="1" t="b">
        <x:v>0</x:v>
      </x:c>
      <x:c r="T256" t="str">
        <x:v>pass</x:v>
      </x:c>
      <x:c r="U256" s="16" t="n">
        <x:v>0</x:v>
      </x:c>
      <x:c r="V256" s="16" t="n">
        <x:v>0.809</x:v>
      </x:c>
      <x:c r="W256" s="16" t="n">
        <x:v>0.931</x:v>
      </x:c>
      <x:c r="X256" t="str">
        <x:v>none</x:v>
      </x:c>
      <x:c r="Y256" t="str"/>
    </x:row>
    <x:row r="257">
      <x:c r="A257" s="12" t="n">
        <x:v>46243.87200231481</x:v>
      </x:c>
      <x:c r="B257" t="str">
        <x:v>tr_7e6b23c906de</x:v>
      </x:c>
      <x:c r="C257" t="str">
        <x:v>sp_a1a4095d7b</x:v>
      </x:c>
      <x:c r="D257" t="str">
        <x:v>req_9ead0fbbc354</x:v>
      </x:c>
      <x:c r="E257" t="str">
        <x:v>doc-summarizer</x:v>
      </x:c>
      <x:c r="F257" t="str">
        <x:v>prod</x:v>
      </x:c>
      <x:c r="G257" t="str">
        <x:v>enterprise</x:v>
      </x:c>
      <x:c r="H257" t="str">
        <x:v>gpt-5-mini</x:v>
      </x:c>
      <x:c r="I257" t="str">
        <x:v>retrieval_answer</x:v>
      </x:c>
      <x:c r="J257" t="str">
        <x:v>success</x:v>
      </x:c>
      <x:c r="K257" t="n">
        <x:v>374</x:v>
      </x:c>
      <x:c r="L257" t="n">
        <x:v>240</x:v>
      </x:c>
      <x:c r="M257" t="n">
        <x:v>527</x:v>
      </x:c>
      <x:c r="N257" t="n">
        <x:v>516</x:v>
      </x:c>
      <x:c r="O257" t="n">
        <x:f>M257+N257</x:f>
        <x:v>1043</x:v>
      </x:c>
      <x:c r="P257" s="14" t="n">
        <x:f>M257/1000000*VLOOKUP(H257,'Model Rates'!$A$2:$C$5,2,FALSE)+N257/1000000*VLOOKUP(H257,'Model Rates'!$A$2:$C$5,3,FALSE)</x:f>
        <x:v>0.0010364</x:v>
      </x:c>
      <x:c r="Q257" t="str">
        <x:v>v2.0</x:v>
      </x:c>
      <x:c r="R257" t="n">
        <x:v>0</x:v>
      </x:c>
      <x:c r="S257" s="1" t="b">
        <x:v>0</x:v>
      </x:c>
      <x:c r="T257" t="str">
        <x:v>pass</x:v>
      </x:c>
      <x:c r="U257" s="16" t="n">
        <x:v>0.016</x:v>
      </x:c>
      <x:c r="V257" s="16" t="n">
        <x:v>0.834</x:v>
      </x:c>
      <x:c r="W257" s="16" t="n">
        <x:v>0.796</x:v>
      </x:c>
      <x:c r="X257" t="str">
        <x:v>none</x:v>
      </x:c>
      <x:c r="Y257" t="str"/>
    </x:row>
    <x:row r="258">
      <x:c r="A258" s="12" t="n">
        <x:v>46243.87333333334</x:v>
      </x:c>
      <x:c r="B258" t="str">
        <x:v>tr_2b94268f4712</x:v>
      </x:c>
      <x:c r="C258" t="str">
        <x:v>sp_a827ebe3a0</x:v>
      </x:c>
      <x:c r="D258" t="str">
        <x:v>req_d28613f0d8a4</x:v>
      </x:c>
      <x:c r="E258" t="str">
        <x:v>support-copilot</x:v>
      </x:c>
      <x:c r="F258" t="str">
        <x:v>staging</x:v>
      </x:c>
      <x:c r="G258" t="str">
        <x:v>free</x:v>
      </x:c>
      <x:c r="H258" t="str">
        <x:v>gpt-5-mini</x:v>
      </x:c>
      <x:c r="I258" t="str">
        <x:v>retrieval_answer</x:v>
      </x:c>
      <x:c r="J258" t="str">
        <x:v>success</x:v>
      </x:c>
      <x:c r="K258" t="n">
        <x:v>890</x:v>
      </x:c>
      <x:c r="L258" t="n">
        <x:v>244</x:v>
      </x:c>
      <x:c r="M258" t="n">
        <x:v>646</x:v>
      </x:c>
      <x:c r="N258" t="n">
        <x:v>290</x:v>
      </x:c>
      <x:c r="O258" t="n">
        <x:f>M258+N258</x:f>
        <x:v>936</x:v>
      </x:c>
      <x:c r="P258" s="14" t="n">
        <x:f>M258/1000000*VLOOKUP(H258,'Model Rates'!$A$2:$C$5,2,FALSE)+N258/1000000*VLOOKUP(H258,'Model Rates'!$A$2:$C$5,3,FALSE)</x:f>
        <x:v>0.0007224</x:v>
      </x:c>
      <x:c r="Q258" t="str">
        <x:v>v2.0</x:v>
      </x:c>
      <x:c r="R258" t="n">
        <x:v>0</x:v>
      </x:c>
      <x:c r="S258" s="1" t="b">
        <x:v>1</x:v>
      </x:c>
      <x:c r="T258" t="str">
        <x:v>blocked</x:v>
      </x:c>
      <x:c r="U258" s="16" t="n">
        <x:v>0.165</x:v>
      </x:c>
      <x:c r="V258" s="16" t="n">
        <x:v>0.943</x:v>
      </x:c>
      <x:c r="W258" s="16" t="n">
        <x:v>0.691</x:v>
      </x:c>
      <x:c r="X258" t="str">
        <x:v>none</x:v>
      </x:c>
      <x:c r="Y258" t="str"/>
    </x:row>
    <x:row r="259">
      <x:c r="A259" s="12" t="n">
        <x:v>46243.87351851852</x:v>
      </x:c>
      <x:c r="B259" t="str">
        <x:v>tr_20f68a1f2d85</x:v>
      </x:c>
      <x:c r="C259" t="str">
        <x:v>sp_78dfbee552</x:v>
      </x:c>
      <x:c r="D259" t="str">
        <x:v>req_10c0b2863839</x:v>
      </x:c>
      <x:c r="E259" t="str">
        <x:v>search-assistant</x:v>
      </x:c>
      <x:c r="F259" t="str">
        <x:v>prod</x:v>
      </x:c>
      <x:c r="G259" t="str">
        <x:v>pro</x:v>
      </x:c>
      <x:c r="H259" t="str">
        <x:v>gpt-5-mini</x:v>
      </x:c>
      <x:c r="I259" t="str">
        <x:v>tool_agent</x:v>
      </x:c>
      <x:c r="J259" t="str">
        <x:v>success</x:v>
      </x:c>
      <x:c r="K259" t="n">
        <x:v>922</x:v>
      </x:c>
      <x:c r="L259" t="n">
        <x:v>353</x:v>
      </x:c>
      <x:c r="M259" t="n">
        <x:v>2804</x:v>
      </x:c>
      <x:c r="N259" t="n">
        <x:v>390</x:v>
      </x:c>
      <x:c r="O259" t="n">
        <x:f>M259+N259</x:f>
        <x:v>3194</x:v>
      </x:c>
      <x:c r="P259" s="14" t="n">
        <x:f>M259/1000000*VLOOKUP(H259,'Model Rates'!$A$2:$C$5,2,FALSE)+N259/1000000*VLOOKUP(H259,'Model Rates'!$A$2:$C$5,3,FALSE)</x:f>
        <x:v>0.0017456000000000001</x:v>
      </x:c>
      <x:c r="Q259" t="str">
        <x:v>v2.0</x:v>
      </x:c>
      <x:c r="R259" t="n">
        <x:v>0</x:v>
      </x:c>
      <x:c r="S259" s="1" t="b">
        <x:v>0</x:v>
      </x:c>
      <x:c r="T259" t="str">
        <x:v>pass</x:v>
      </x:c>
      <x:c r="U259" s="16" t="n">
        <x:v>0.139</x:v>
      </x:c>
      <x:c r="V259" s="16" t="n">
        <x:v>0.93</x:v>
      </x:c>
      <x:c r="W259" s="16" t="n">
        <x:v>0.968</x:v>
      </x:c>
      <x:c r="X259" t="str">
        <x:v>none</x:v>
      </x:c>
      <x:c r="Y259" t="str"/>
    </x:row>
    <x:row r="260">
      <x:c r="A260" s="12" t="n">
        <x:v>46243.87362268518</x:v>
      </x:c>
      <x:c r="B260" t="str">
        <x:v>tr_a132f4860057</x:v>
      </x:c>
      <x:c r="C260" t="str">
        <x:v>sp_56d54bb0ef</x:v>
      </x:c>
      <x:c r="D260" t="str">
        <x:v>req_5c799a15ba7d</x:v>
      </x:c>
      <x:c r="E260" t="str">
        <x:v>doc-summarizer</x:v>
      </x:c>
      <x:c r="F260" t="str">
        <x:v>prod</x:v>
      </x:c>
      <x:c r="G260" t="str">
        <x:v>enterprise</x:v>
      </x:c>
      <x:c r="H260" t="str">
        <x:v>claude-sonnet</x:v>
      </x:c>
      <x:c r="I260" t="str">
        <x:v>retrieval_answer</x:v>
      </x:c>
      <x:c r="J260" t="str">
        <x:v>success</x:v>
      </x:c>
      <x:c r="K260" t="n">
        <x:v>2714</x:v>
      </x:c>
      <x:c r="L260" t="n">
        <x:v>457</x:v>
      </x:c>
      <x:c r="M260" t="n">
        <x:v>218</x:v>
      </x:c>
      <x:c r="N260" t="n">
        <x:v>441</x:v>
      </x:c>
      <x:c r="O260" t="n">
        <x:f>M260+N260</x:f>
        <x:v>659</x:v>
      </x:c>
      <x:c r="P260" s="14" t="n">
        <x:f>M260/1000000*VLOOKUP(H260,'Model Rates'!$A$2:$C$5,2,FALSE)+N260/1000000*VLOOKUP(H260,'Model Rates'!$A$2:$C$5,3,FALSE)</x:f>
        <x:v>0.007268999999999999</x:v>
      </x:c>
      <x:c r="Q260" t="str">
        <x:v>v1.9</x:v>
      </x:c>
      <x:c r="R260" t="n">
        <x:v>1</x:v>
      </x:c>
      <x:c r="S260" s="1" t="b">
        <x:v>0</x:v>
      </x:c>
      <x:c r="T260" t="str">
        <x:v>blocked</x:v>
      </x:c>
      <x:c r="U260" s="16" t="n">
        <x:v>0.085</x:v>
      </x:c>
      <x:c r="V260" s="16" t="n">
        <x:v>0.773</x:v>
      </x:c>
      <x:c r="W260" s="16" t="n">
        <x:v>0.861</x:v>
      </x:c>
      <x:c r="X260" t="str">
        <x:v>none</x:v>
      </x:c>
      <x:c r="Y260" t="str"/>
    </x:row>
    <x:row r="261">
      <x:c r="A261" s="12" t="n">
        <x:v>46243.874131944445</x:v>
      </x:c>
      <x:c r="B261" t="str">
        <x:v>tr_04dc462e6fe0</x:v>
      </x:c>
      <x:c r="C261" t="str">
        <x:v>sp_5b517fb76a</x:v>
      </x:c>
      <x:c r="D261" t="str">
        <x:v>req_b3ab0697f5c5</x:v>
      </x:c>
      <x:c r="E261" t="str">
        <x:v>agent-workflow</x:v>
      </x:c>
      <x:c r="F261" t="str">
        <x:v>prod</x:v>
      </x:c>
      <x:c r="G261" t="str">
        <x:v>free</x:v>
      </x:c>
      <x:c r="H261" t="str">
        <x:v>gpt-5</x:v>
      </x:c>
      <x:c r="I261" t="str">
        <x:v>chat_completion</x:v>
      </x:c>
      <x:c r="J261" t="str">
        <x:v>success</x:v>
      </x:c>
      <x:c r="K261" t="n">
        <x:v>1597</x:v>
      </x:c>
      <x:c r="L261" t="n">
        <x:v>386</x:v>
      </x:c>
      <x:c r="M261" t="n">
        <x:v>1159</x:v>
      </x:c>
      <x:c r="N261" t="n">
        <x:v>140</x:v>
      </x:c>
      <x:c r="O261" t="n">
        <x:f>M261+N261</x:f>
        <x:v>1299</x:v>
      </x:c>
      <x:c r="P261" s="14" t="n">
        <x:f>M261/1000000*VLOOKUP(H261,'Model Rates'!$A$2:$C$5,2,FALSE)+N261/1000000*VLOOKUP(H261,'Model Rates'!$A$2:$C$5,3,FALSE)</x:f>
        <x:v>0.0028487499999999997</x:v>
      </x:c>
      <x:c r="Q261" t="str">
        <x:v>v1.8</x:v>
      </x:c>
      <x:c r="R261" t="n">
        <x:v>0</x:v>
      </x:c>
      <x:c r="S261" s="1" t="b">
        <x:v>0</x:v>
      </x:c>
      <x:c r="T261" t="str">
        <x:v>pass</x:v>
      </x:c>
      <x:c r="U261" s="16" t="n">
        <x:v>0.011</x:v>
      </x:c>
      <x:c r="V261" s="16" t="n">
        <x:v>0.9</x:v>
      </x:c>
      <x:c r="W261" s="16" t="n">
        <x:v>0.931</x:v>
      </x:c>
      <x:c r="X261" t="str">
        <x:v>positive</x:v>
      </x:c>
      <x:c r="Y261" t="str"/>
    </x:row>
    <x:row r="262">
      <x:c r="A262" s="12" t="n">
        <x:v>46243.87415509259</x:v>
      </x:c>
      <x:c r="B262" t="str">
        <x:v>tr_46779e48b40a</x:v>
      </x:c>
      <x:c r="C262" t="str">
        <x:v>sp_932b20555a</x:v>
      </x:c>
      <x:c r="D262" t="str">
        <x:v>req_c3fdaf2d9639</x:v>
      </x:c>
      <x:c r="E262" t="str">
        <x:v>support-copilot</x:v>
      </x:c>
      <x:c r="F262" t="str">
        <x:v>prod</x:v>
      </x:c>
      <x:c r="G262" t="str">
        <x:v>free</x:v>
      </x:c>
      <x:c r="H262" t="str">
        <x:v>claude-sonnet</x:v>
      </x:c>
      <x:c r="I262" t="str">
        <x:v>retrieval_answer</x:v>
      </x:c>
      <x:c r="J262" t="str">
        <x:v>success</x:v>
      </x:c>
      <x:c r="K262" t="n">
        <x:v>2636</x:v>
      </x:c>
      <x:c r="L262" t="n">
        <x:v>529</x:v>
      </x:c>
      <x:c r="M262" t="n">
        <x:v>1380</x:v>
      </x:c>
      <x:c r="N262" t="n">
        <x:v>434</x:v>
      </x:c>
      <x:c r="O262" t="n">
        <x:f>M262+N262</x:f>
        <x:v>1814</x:v>
      </x:c>
      <x:c r="P262" s="14" t="n">
        <x:f>M262/1000000*VLOOKUP(H262,'Model Rates'!$A$2:$C$5,2,FALSE)+N262/1000000*VLOOKUP(H262,'Model Rates'!$A$2:$C$5,3,FALSE)</x:f>
        <x:v>0.01065</x:v>
      </x:c>
      <x:c r="Q262" t="str">
        <x:v>v2.0</x:v>
      </x:c>
      <x:c r="R262" t="n">
        <x:v>2</x:v>
      </x:c>
      <x:c r="S262" s="1" t="b">
        <x:v>0</x:v>
      </x:c>
      <x:c r="T262" t="str">
        <x:v>pass</x:v>
      </x:c>
      <x:c r="U262" s="16" t="n">
        <x:v>0.16</x:v>
      </x:c>
      <x:c r="V262" s="16" t="n">
        <x:v>0.815</x:v>
      </x:c>
      <x:c r="W262" s="16" t="n">
        <x:v>0.744</x:v>
      </x:c>
      <x:c r="X262" t="str">
        <x:v>positive</x:v>
      </x:c>
      <x:c r="Y262" t="str"/>
    </x:row>
    <x:row r="263">
      <x:c r="A263" s="12" t="n">
        <x:v>46243.876284722224</x:v>
      </x:c>
      <x:c r="B263" t="str">
        <x:v>tr_80ecfb497622</x:v>
      </x:c>
      <x:c r="C263" t="str">
        <x:v>sp_e36adadf2e</x:v>
      </x:c>
      <x:c r="D263" t="str">
        <x:v>req_2d5bada1f217</x:v>
      </x:c>
      <x:c r="E263" t="str">
        <x:v>support-copilot</x:v>
      </x:c>
      <x:c r="F263" t="str">
        <x:v>prod</x:v>
      </x:c>
      <x:c r="G263" t="str">
        <x:v>free</x:v>
      </x:c>
      <x:c r="H263" t="str">
        <x:v>gpt-5-mini</x:v>
      </x:c>
      <x:c r="I263" t="str">
        <x:v>retrieval_answer</x:v>
      </x:c>
      <x:c r="J263" t="str">
        <x:v>error</x:v>
      </x:c>
      <x:c r="K263" t="n">
        <x:v>2241</x:v>
      </x:c>
      <x:c r="L263" t="n">
        <x:v>264</x:v>
      </x:c>
      <x:c r="M263" t="n">
        <x:v>289</x:v>
      </x:c>
      <x:c r="N263" t="n">
        <x:v>211</x:v>
      </x:c>
      <x:c r="O263" t="n">
        <x:f>M263+N263</x:f>
        <x:v>500</x:v>
      </x:c>
      <x:c r="P263" s="14" t="n">
        <x:f>M263/1000000*VLOOKUP(H263,'Model Rates'!$A$2:$C$5,2,FALSE)+N263/1000000*VLOOKUP(H263,'Model Rates'!$A$2:$C$5,3,FALSE)</x:f>
        <x:v>0.0004532</x:v>
      </x:c>
      <x:c r="Q263" t="str">
        <x:v>v2.0</x:v>
      </x:c>
      <x:c r="R263" t="n">
        <x:v>1</x:v>
      </x:c>
      <x:c r="S263" s="1" t="b">
        <x:v>0</x:v>
      </x:c>
      <x:c r="T263" t="str">
        <x:v>pass</x:v>
      </x:c>
      <x:c r="U263" s="16" t="n">
        <x:v>0.139</x:v>
      </x:c>
      <x:c r="V263" s="16" t="n">
        <x:v>0.46</x:v>
      </x:c>
      <x:c r="W263" s="16" t="n">
        <x:v>0.564</x:v>
      </x:c>
      <x:c r="X263" t="str">
        <x:v>none</x:v>
      </x:c>
      <x:c r="Y263" t="str">
        <x:v>timeout</x:v>
      </x:c>
    </x:row>
    <x:row r="264">
      <x:c r="A264" s="12" t="n">
        <x:v>46243.876921296294</x:v>
      </x:c>
      <x:c r="B264" t="str">
        <x:v>tr_5816cf56b0f7</x:v>
      </x:c>
      <x:c r="C264" t="str">
        <x:v>sp_f28a0968a6</x:v>
      </x:c>
      <x:c r="D264" t="str">
        <x:v>req_747330a5d3fd</x:v>
      </x:c>
      <x:c r="E264" t="str">
        <x:v>search-assistant</x:v>
      </x:c>
      <x:c r="F264" t="str">
        <x:v>prod</x:v>
      </x:c>
      <x:c r="G264" t="str">
        <x:v>free</x:v>
      </x:c>
      <x:c r="H264" t="str">
        <x:v>gpt-5</x:v>
      </x:c>
      <x:c r="I264" t="str">
        <x:v>chat_completion</x:v>
      </x:c>
      <x:c r="J264" t="str">
        <x:v>success</x:v>
      </x:c>
      <x:c r="K264" t="n">
        <x:v>2663</x:v>
      </x:c>
      <x:c r="L264" t="n">
        <x:v>473</x:v>
      </x:c>
      <x:c r="M264" t="n">
        <x:v>660</x:v>
      </x:c>
      <x:c r="N264" t="n">
        <x:v>157</x:v>
      </x:c>
      <x:c r="O264" t="n">
        <x:f>M264+N264</x:f>
        <x:v>817</x:v>
      </x:c>
      <x:c r="P264" s="14" t="n">
        <x:f>M264/1000000*VLOOKUP(H264,'Model Rates'!$A$2:$C$5,2,FALSE)+N264/1000000*VLOOKUP(H264,'Model Rates'!$A$2:$C$5,3,FALSE)</x:f>
        <x:v>0.002395</x:v>
      </x:c>
      <x:c r="Q264" t="str">
        <x:v>v2.0</x:v>
      </x:c>
      <x:c r="R264" t="n">
        <x:v>1</x:v>
      </x:c>
      <x:c r="S264" s="1" t="b">
        <x:v>0</x:v>
      </x:c>
      <x:c r="T264" t="str">
        <x:v>review</x:v>
      </x:c>
      <x:c r="U264" s="16" t="n">
        <x:v>0.012</x:v>
      </x:c>
      <x:c r="V264" s="16" t="n">
        <x:v>0.876</x:v>
      </x:c>
      <x:c r="W264" s="16" t="n">
        <x:v>0.995</x:v>
      </x:c>
      <x:c r="X264" t="str">
        <x:v>none</x:v>
      </x:c>
      <x:c r="Y264" t="str"/>
    </x:row>
    <x:row r="265">
      <x:c r="A265" s="12" t="n">
        <x:v>46243.87788194444</x:v>
      </x:c>
      <x:c r="B265" t="str">
        <x:v>tr_ab7672049429</x:v>
      </x:c>
      <x:c r="C265" t="str">
        <x:v>sp_551571f14c</x:v>
      </x:c>
      <x:c r="D265" t="str">
        <x:v>req_f2f789d3def4</x:v>
      </x:c>
      <x:c r="E265" t="str">
        <x:v>doc-summarizer</x:v>
      </x:c>
      <x:c r="F265" t="str">
        <x:v>prod</x:v>
      </x:c>
      <x:c r="G265" t="str">
        <x:v>enterprise</x:v>
      </x:c>
      <x:c r="H265" t="str">
        <x:v>gpt-5-mini</x:v>
      </x:c>
      <x:c r="I265" t="str">
        <x:v>retrieval_answer</x:v>
      </x:c>
      <x:c r="J265" t="str">
        <x:v>error</x:v>
      </x:c>
      <x:c r="K265" t="n">
        <x:v>2236</x:v>
      </x:c>
      <x:c r="L265" t="n">
        <x:v>206</x:v>
      </x:c>
      <x:c r="M265" t="n">
        <x:v>619</x:v>
      </x:c>
      <x:c r="N265" t="n">
        <x:v>297</x:v>
      </x:c>
      <x:c r="O265" t="n">
        <x:f>M265+N265</x:f>
        <x:v>916</x:v>
      </x:c>
      <x:c r="P265" s="14" t="n">
        <x:f>M265/1000000*VLOOKUP(H265,'Model Rates'!$A$2:$C$5,2,FALSE)+N265/1000000*VLOOKUP(H265,'Model Rates'!$A$2:$C$5,3,FALSE)</x:f>
        <x:v>0.0007228</x:v>
      </x:c>
      <x:c r="Q265" t="str">
        <x:v>v2.0</x:v>
      </x:c>
      <x:c r="R265" t="n">
        <x:v>1</x:v>
      </x:c>
      <x:c r="S265" s="1" t="b">
        <x:v>0</x:v>
      </x:c>
      <x:c r="T265" t="str">
        <x:v>pass</x:v>
      </x:c>
      <x:c r="U265" s="16" t="n">
        <x:v>0.199</x:v>
      </x:c>
      <x:c r="V265" s="16" t="n">
        <x:v>0.633</x:v>
      </x:c>
      <x:c r="W265" s="16" t="n">
        <x:v>0.442</x:v>
      </x:c>
      <x:c r="X265" t="str">
        <x:v>positive</x:v>
      </x:c>
      <x:c r="Y265" t="str">
        <x:v>tool_error</x:v>
      </x:c>
    </x:row>
    <x:row r="266">
      <x:c r="A266" s="12" t="n">
        <x:v>46243.88149305555</x:v>
      </x:c>
      <x:c r="B266" t="str">
        <x:v>tr_7d68ba2c2426</x:v>
      </x:c>
      <x:c r="C266" t="str">
        <x:v>sp_45812ae053</x:v>
      </x:c>
      <x:c r="D266" t="str">
        <x:v>req_8838378d23eb</x:v>
      </x:c>
      <x:c r="E266" t="str">
        <x:v>agent-workflow</x:v>
      </x:c>
      <x:c r="F266" t="str">
        <x:v>prod</x:v>
      </x:c>
      <x:c r="G266" t="str">
        <x:v>pro</x:v>
      </x:c>
      <x:c r="H266" t="str">
        <x:v>gpt-5</x:v>
      </x:c>
      <x:c r="I266" t="str">
        <x:v>retrieval_answer</x:v>
      </x:c>
      <x:c r="J266" t="str">
        <x:v>success</x:v>
      </x:c>
      <x:c r="K266" t="n">
        <x:v>1601</x:v>
      </x:c>
      <x:c r="L266" t="n">
        <x:v>460</x:v>
      </x:c>
      <x:c r="M266" t="n">
        <x:v>552</x:v>
      </x:c>
      <x:c r="N266" t="n">
        <x:v>284</x:v>
      </x:c>
      <x:c r="O266" t="n">
        <x:f>M266+N266</x:f>
        <x:v>836</x:v>
      </x:c>
      <x:c r="P266" s="14" t="n">
        <x:f>M266/1000000*VLOOKUP(H266,'Model Rates'!$A$2:$C$5,2,FALSE)+N266/1000000*VLOOKUP(H266,'Model Rates'!$A$2:$C$5,3,FALSE)</x:f>
        <x:v>0.00353</x:v>
      </x:c>
      <x:c r="Q266" t="str">
        <x:v>v2.0</x:v>
      </x:c>
      <x:c r="R266" t="n">
        <x:v>0</x:v>
      </x:c>
      <x:c r="S266" s="1" t="b">
        <x:v>0</x:v>
      </x:c>
      <x:c r="T266" t="str">
        <x:v>blocked</x:v>
      </x:c>
      <x:c r="U266" s="16" t="n">
        <x:v>0.059</x:v>
      </x:c>
      <x:c r="V266" s="16" t="n">
        <x:v>0.972</x:v>
      </x:c>
      <x:c r="W266" s="16" t="n">
        <x:v>0.806</x:v>
      </x:c>
      <x:c r="X266" t="str">
        <x:v>none</x:v>
      </x:c>
      <x:c r="Y266" t="str"/>
    </x:row>
    <x:row r="267">
      <x:c r="A267" s="12" t="n">
        <x:v>46243.886828703704</x:v>
      </x:c>
      <x:c r="B267" t="str">
        <x:v>tr_c4413aa7e79a</x:v>
      </x:c>
      <x:c r="C267" t="str">
        <x:v>sp_81bf3c6db6</x:v>
      </x:c>
      <x:c r="D267" t="str">
        <x:v>req_2f24429ad3db</x:v>
      </x:c>
      <x:c r="E267" t="str">
        <x:v>agent-workflow</x:v>
      </x:c>
      <x:c r="F267" t="str">
        <x:v>prod</x:v>
      </x:c>
      <x:c r="G267" t="str">
        <x:v>enterprise</x:v>
      </x:c>
      <x:c r="H267" t="str">
        <x:v>gpt-5</x:v>
      </x:c>
      <x:c r="I267" t="str">
        <x:v>tool_agent</x:v>
      </x:c>
      <x:c r="J267" t="str">
        <x:v>success</x:v>
      </x:c>
      <x:c r="K267" t="n">
        <x:v>532</x:v>
      </x:c>
      <x:c r="L267" t="n">
        <x:v>731</x:v>
      </x:c>
      <x:c r="M267" t="n">
        <x:v>909</x:v>
      </x:c>
      <x:c r="N267" t="n">
        <x:v>463</x:v>
      </x:c>
      <x:c r="O267" t="n">
        <x:f>M267+N267</x:f>
        <x:v>1372</x:v>
      </x:c>
      <x:c r="P267" s="14" t="n">
        <x:f>M267/1000000*VLOOKUP(H267,'Model Rates'!$A$2:$C$5,2,FALSE)+N267/1000000*VLOOKUP(H267,'Model Rates'!$A$2:$C$5,3,FALSE)</x:f>
        <x:v>0.00576625</x:v>
      </x:c>
      <x:c r="Q267" t="str">
        <x:v>v1.9</x:v>
      </x:c>
      <x:c r="R267" t="n">
        <x:v>0</x:v>
      </x:c>
      <x:c r="S267" s="1" t="b">
        <x:v>1</x:v>
      </x:c>
      <x:c r="T267" t="str">
        <x:v>review</x:v>
      </x:c>
      <x:c r="U267" s="16" t="n">
        <x:v>0.061</x:v>
      </x:c>
      <x:c r="V267" s="16" t="n">
        <x:v>0.909</x:v>
      </x:c>
      <x:c r="W267" s="16" t="n">
        <x:v>0.847</x:v>
      </x:c>
      <x:c r="X267" t="str">
        <x:v>none</x:v>
      </x:c>
      <x:c r="Y267" t="str"/>
    </x:row>
    <x:row r="268">
      <x:c r="A268" s="12" t="n">
        <x:v>46243.88837962963</x:v>
      </x:c>
      <x:c r="B268" t="str">
        <x:v>tr_b676dad0941c</x:v>
      </x:c>
      <x:c r="C268" t="str">
        <x:v>sp_53f088fc9d</x:v>
      </x:c>
      <x:c r="D268" t="str">
        <x:v>req_48b660a2d41a</x:v>
      </x:c>
      <x:c r="E268" t="str">
        <x:v>support-copilot</x:v>
      </x:c>
      <x:c r="F268" t="str">
        <x:v>prod</x:v>
      </x:c>
      <x:c r="G268" t="str">
        <x:v>pro</x:v>
      </x:c>
      <x:c r="H268" t="str">
        <x:v>gpt-5-mini</x:v>
      </x:c>
      <x:c r="I268" t="str">
        <x:v>summarization</x:v>
      </x:c>
      <x:c r="J268" t="str">
        <x:v>success</x:v>
      </x:c>
      <x:c r="K268" t="n">
        <x:v>1359</x:v>
      </x:c>
      <x:c r="L268" t="n">
        <x:v>228</x:v>
      </x:c>
      <x:c r="M268" t="n">
        <x:v>1373</x:v>
      </x:c>
      <x:c r="N268" t="n">
        <x:v>235</x:v>
      </x:c>
      <x:c r="O268" t="n">
        <x:f>M268+N268</x:f>
        <x:v>1608</x:v>
      </x:c>
      <x:c r="P268" s="14" t="n">
        <x:f>M268/1000000*VLOOKUP(H268,'Model Rates'!$A$2:$C$5,2,FALSE)+N268/1000000*VLOOKUP(H268,'Model Rates'!$A$2:$C$5,3,FALSE)</x:f>
        <x:v>0.0009252</x:v>
      </x:c>
      <x:c r="Q268" t="str">
        <x:v>v2.0</x:v>
      </x:c>
      <x:c r="R268" t="n">
        <x:v>1</x:v>
      </x:c>
      <x:c r="S268" s="1" t="b">
        <x:v>0</x:v>
      </x:c>
      <x:c r="T268" t="str">
        <x:v>review</x:v>
      </x:c>
      <x:c r="U268" s="16" t="n">
        <x:v>0.037</x:v>
      </x:c>
      <x:c r="V268" s="16" t="n">
        <x:v>0.864</x:v>
      </x:c>
      <x:c r="W268" s="16" t="n">
        <x:v>1</x:v>
      </x:c>
      <x:c r="X268" t="str">
        <x:v>none</x:v>
      </x:c>
      <x:c r="Y268" t="str"/>
    </x:row>
    <x:row r="269">
      <x:c r="A269" s="12" t="n">
        <x:v>46243.89344907407</x:v>
      </x:c>
      <x:c r="B269" t="str">
        <x:v>tr_3327e0be7dcf</x:v>
      </x:c>
      <x:c r="C269" t="str">
        <x:v>sp_600d2ed5b0</x:v>
      </x:c>
      <x:c r="D269" t="str">
        <x:v>req_e373f5426f11</x:v>
      </x:c>
      <x:c r="E269" t="str">
        <x:v>agent-workflow</x:v>
      </x:c>
      <x:c r="F269" t="str">
        <x:v>prod</x:v>
      </x:c>
      <x:c r="G269" t="str">
        <x:v>pro</x:v>
      </x:c>
      <x:c r="H269" t="str">
        <x:v>claude-sonnet</x:v>
      </x:c>
      <x:c r="I269" t="str">
        <x:v>tool_agent</x:v>
      </x:c>
      <x:c r="J269" t="str">
        <x:v>success</x:v>
      </x:c>
      <x:c r="K269" t="n">
        <x:v>1091</x:v>
      </x:c>
      <x:c r="L269" t="n">
        <x:v>235</x:v>
      </x:c>
      <x:c r="M269" t="n">
        <x:v>1464</x:v>
      </x:c>
      <x:c r="N269" t="n">
        <x:v>281</x:v>
      </x:c>
      <x:c r="O269" t="n">
        <x:f>M269+N269</x:f>
        <x:v>1745</x:v>
      </x:c>
      <x:c r="P269" s="14" t="n">
        <x:f>M269/1000000*VLOOKUP(H269,'Model Rates'!$A$2:$C$5,2,FALSE)+N269/1000000*VLOOKUP(H269,'Model Rates'!$A$2:$C$5,3,FALSE)</x:f>
        <x:v>0.008607</x:v>
      </x:c>
      <x:c r="Q269" t="str">
        <x:v>v1.9</x:v>
      </x:c>
      <x:c r="R269" t="n">
        <x:v>0</x:v>
      </x:c>
      <x:c r="S269" s="1" t="b">
        <x:v>0</x:v>
      </x:c>
      <x:c r="T269" t="str">
        <x:v>pass</x:v>
      </x:c>
      <x:c r="U269" s="16" t="n">
        <x:v>0.17</x:v>
      </x:c>
      <x:c r="V269" s="16" t="n">
        <x:v>0.817</x:v>
      </x:c>
      <x:c r="W269" s="16" t="n">
        <x:v>0.975</x:v>
      </x:c>
      <x:c r="X269" t="str">
        <x:v>positive</x:v>
      </x:c>
      <x:c r="Y269" t="str"/>
    </x:row>
    <x:row r="270">
      <x:c r="A270" s="12" t="n">
        <x:v>46243.89439814815</x:v>
      </x:c>
      <x:c r="B270" t="str">
        <x:v>tr_c067cc0cfa10</x:v>
      </x:c>
      <x:c r="C270" t="str">
        <x:v>sp_8a96e64a8c</x:v>
      </x:c>
      <x:c r="D270" t="str">
        <x:v>req_90ea3fc77566</x:v>
      </x:c>
      <x:c r="E270" t="str">
        <x:v>doc-summarizer</x:v>
      </x:c>
      <x:c r="F270" t="str">
        <x:v>staging</x:v>
      </x:c>
      <x:c r="G270" t="str">
        <x:v>free</x:v>
      </x:c>
      <x:c r="H270" t="str">
        <x:v>claude-sonnet</x:v>
      </x:c>
      <x:c r="I270" t="str">
        <x:v>tool_agent</x:v>
      </x:c>
      <x:c r="J270" t="str">
        <x:v>success</x:v>
      </x:c>
      <x:c r="K270" t="n">
        <x:v>2846</x:v>
      </x:c>
      <x:c r="L270" t="n">
        <x:v>387</x:v>
      </x:c>
      <x:c r="M270" t="n">
        <x:v>433</x:v>
      </x:c>
      <x:c r="N270" t="n">
        <x:v>143</x:v>
      </x:c>
      <x:c r="O270" t="n">
        <x:f>M270+N270</x:f>
        <x:v>576</x:v>
      </x:c>
      <x:c r="P270" s="14" t="n">
        <x:f>M270/1000000*VLOOKUP(H270,'Model Rates'!$A$2:$C$5,2,FALSE)+N270/1000000*VLOOKUP(H270,'Model Rates'!$A$2:$C$5,3,FALSE)</x:f>
        <x:v>0.003444</x:v>
      </x:c>
      <x:c r="Q270" t="str">
        <x:v>v1.9</x:v>
      </x:c>
      <x:c r="R270" t="n">
        <x:v>1</x:v>
      </x:c>
      <x:c r="S270" s="1" t="b">
        <x:v>0</x:v>
      </x:c>
      <x:c r="T270" t="str">
        <x:v>pass</x:v>
      </x:c>
      <x:c r="U270" s="16" t="n">
        <x:v>0.172</x:v>
      </x:c>
      <x:c r="V270" s="16" t="n">
        <x:v>0.892</x:v>
      </x:c>
      <x:c r="W270" s="16" t="n">
        <x:v>0.902</x:v>
      </x:c>
      <x:c r="X270" t="str">
        <x:v>positive</x:v>
      </x:c>
      <x:c r="Y270" t="str"/>
    </x:row>
    <x:row r="271">
      <x:c r="A271" s="12" t="n">
        <x:v>46243.896631944444</x:v>
      </x:c>
      <x:c r="B271" t="str">
        <x:v>tr_6be3f6ad42d8</x:v>
      </x:c>
      <x:c r="C271" t="str">
        <x:v>sp_c40054427e</x:v>
      </x:c>
      <x:c r="D271" t="str">
        <x:v>req_d52803ca1113</x:v>
      </x:c>
      <x:c r="E271" t="str">
        <x:v>doc-summarizer</x:v>
      </x:c>
      <x:c r="F271" t="str">
        <x:v>prod</x:v>
      </x:c>
      <x:c r="G271" t="str">
        <x:v>free</x:v>
      </x:c>
      <x:c r="H271" t="str">
        <x:v>gemini-pro</x:v>
      </x:c>
      <x:c r="I271" t="str">
        <x:v>chat_completion</x:v>
      </x:c>
      <x:c r="J271" t="str">
        <x:v>success</x:v>
      </x:c>
      <x:c r="K271" t="n">
        <x:v>883</x:v>
      </x:c>
      <x:c r="L271" t="n">
        <x:v>244</x:v>
      </x:c>
      <x:c r="M271" t="n">
        <x:v>1533</x:v>
      </x:c>
      <x:c r="N271" t="n">
        <x:v>455</x:v>
      </x:c>
      <x:c r="O271" t="n">
        <x:f>M271+N271</x:f>
        <x:v>1988</x:v>
      </x:c>
      <x:c r="P271" s="14" t="n">
        <x:f>M271/1000000*VLOOKUP(H271,'Model Rates'!$A$2:$C$5,2,FALSE)+N271/1000000*VLOOKUP(H271,'Model Rates'!$A$2:$C$5,3,FALSE)</x:f>
        <x:v>0.0041912500000000005</x:v>
      </x:c>
      <x:c r="Q271" t="str">
        <x:v>v2.0</x:v>
      </x:c>
      <x:c r="R271" t="n">
        <x:v>0</x:v>
      </x:c>
      <x:c r="S271" s="1" t="b">
        <x:v>0</x:v>
      </x:c>
      <x:c r="T271" t="str">
        <x:v>pass</x:v>
      </x:c>
      <x:c r="U271" s="16" t="n">
        <x:v>0.14</x:v>
      </x:c>
      <x:c r="V271" s="16" t="n">
        <x:v>0.965</x:v>
      </x:c>
      <x:c r="W271" s="16" t="n">
        <x:v>0.869</x:v>
      </x:c>
      <x:c r="X271" t="str">
        <x:v>positive</x:v>
      </x:c>
      <x:c r="Y271" t="str"/>
    </x:row>
    <x:row r="272">
      <x:c r="A272" s="12" t="n">
        <x:v>46243.89986111111</x:v>
      </x:c>
      <x:c r="B272" t="str">
        <x:v>tr_778617d1833b</x:v>
      </x:c>
      <x:c r="C272" t="str">
        <x:v>sp_35bd9d786f</x:v>
      </x:c>
      <x:c r="D272" t="str">
        <x:v>req_86458176c120</x:v>
      </x:c>
      <x:c r="E272" t="str">
        <x:v>support-copilot</x:v>
      </x:c>
      <x:c r="F272" t="str">
        <x:v>prod</x:v>
      </x:c>
      <x:c r="G272" t="str">
        <x:v>free</x:v>
      </x:c>
      <x:c r="H272" t="str">
        <x:v>gpt-5-mini</x:v>
      </x:c>
      <x:c r="I272" t="str">
        <x:v>summarization</x:v>
      </x:c>
      <x:c r="J272" t="str">
        <x:v>success</x:v>
      </x:c>
      <x:c r="K272" t="n">
        <x:v>1555</x:v>
      </x:c>
      <x:c r="L272" t="n">
        <x:v>171</x:v>
      </x:c>
      <x:c r="M272" t="n">
        <x:v>1817</x:v>
      </x:c>
      <x:c r="N272" t="n">
        <x:v>164</x:v>
      </x:c>
      <x:c r="O272" t="n">
        <x:f>M272+N272</x:f>
        <x:v>1981</x:v>
      </x:c>
      <x:c r="P272" s="14" t="n">
        <x:f>M272/1000000*VLOOKUP(H272,'Model Rates'!$A$2:$C$5,2,FALSE)+N272/1000000*VLOOKUP(H272,'Model Rates'!$A$2:$C$5,3,FALSE)</x:f>
        <x:v>0.0009892000000000002</x:v>
      </x:c>
      <x:c r="Q272" t="str">
        <x:v>v2.0</x:v>
      </x:c>
      <x:c r="R272" t="n">
        <x:v>0</x:v>
      </x:c>
      <x:c r="S272" s="1" t="b">
        <x:v>0</x:v>
      </x:c>
      <x:c r="T272" t="str">
        <x:v>pass</x:v>
      </x:c>
      <x:c r="U272" s="16" t="n">
        <x:v>0.017</x:v>
      </x:c>
      <x:c r="V272" s="16" t="n">
        <x:v>0.996</x:v>
      </x:c>
      <x:c r="W272" s="16" t="n">
        <x:v>0.709</x:v>
      </x:c>
      <x:c r="X272" t="str">
        <x:v>positive</x:v>
      </x:c>
      <x:c r="Y272" t="str"/>
    </x:row>
    <x:row r="273">
      <x:c r="A273" s="12" t="n">
        <x:v>46243.9005787037</x:v>
      </x:c>
      <x:c r="B273" t="str">
        <x:v>tr_5aa38d3d0868</x:v>
      </x:c>
      <x:c r="C273" t="str">
        <x:v>sp_ad23560e26</x:v>
      </x:c>
      <x:c r="D273" t="str">
        <x:v>req_b813c32ae30d</x:v>
      </x:c>
      <x:c r="E273" t="str">
        <x:v>agent-workflow</x:v>
      </x:c>
      <x:c r="F273" t="str">
        <x:v>prod</x:v>
      </x:c>
      <x:c r="G273" t="str">
        <x:v>pro</x:v>
      </x:c>
      <x:c r="H273" t="str">
        <x:v>gpt-5-mini</x:v>
      </x:c>
      <x:c r="I273" t="str">
        <x:v>retrieval_answer</x:v>
      </x:c>
      <x:c r="J273" t="str">
        <x:v>success</x:v>
      </x:c>
      <x:c r="K273" t="n">
        <x:v>1377</x:v>
      </x:c>
      <x:c r="L273" t="n">
        <x:v>260</x:v>
      </x:c>
      <x:c r="M273" t="n">
        <x:v>462</x:v>
      </x:c>
      <x:c r="N273" t="n">
        <x:v>129</x:v>
      </x:c>
      <x:c r="O273" t="n">
        <x:f>M273+N273</x:f>
        <x:v>591</x:v>
      </x:c>
      <x:c r="P273" s="14" t="n">
        <x:f>M273/1000000*VLOOKUP(H273,'Model Rates'!$A$2:$C$5,2,FALSE)+N273/1000000*VLOOKUP(H273,'Model Rates'!$A$2:$C$5,3,FALSE)</x:f>
        <x:v>0.0003912</x:v>
      </x:c>
      <x:c r="Q273" t="str">
        <x:v>v2.0</x:v>
      </x:c>
      <x:c r="R273" t="n">
        <x:v>0</x:v>
      </x:c>
      <x:c r="S273" s="1" t="b">
        <x:v>0</x:v>
      </x:c>
      <x:c r="T273" t="str">
        <x:v>pass</x:v>
      </x:c>
      <x:c r="U273" s="16" t="n">
        <x:v>0.002</x:v>
      </x:c>
      <x:c r="V273" s="16" t="n">
        <x:v>0.795</x:v>
      </x:c>
      <x:c r="W273" s="16" t="n">
        <x:v>0.595</x:v>
      </x:c>
      <x:c r="X273" t="str">
        <x:v>positive</x:v>
      </x:c>
      <x:c r="Y273" t="str"/>
    </x:row>
    <x:row r="274">
      <x:c r="A274" s="12" t="n">
        <x:v>46243.90083333333</x:v>
      </x:c>
      <x:c r="B274" t="str">
        <x:v>tr_0b366938f9fb</x:v>
      </x:c>
      <x:c r="C274" t="str">
        <x:v>sp_e34e183272</x:v>
      </x:c>
      <x:c r="D274" t="str">
        <x:v>req_c5a1a2c30fb2</x:v>
      </x:c>
      <x:c r="E274" t="str">
        <x:v>support-copilot</x:v>
      </x:c>
      <x:c r="F274" t="str">
        <x:v>prod</x:v>
      </x:c>
      <x:c r="G274" t="str">
        <x:v>pro</x:v>
      </x:c>
      <x:c r="H274" t="str">
        <x:v>gpt-5</x:v>
      </x:c>
      <x:c r="I274" t="str">
        <x:v>retrieval_answer</x:v>
      </x:c>
      <x:c r="J274" t="str">
        <x:v>success</x:v>
      </x:c>
      <x:c r="K274" t="n">
        <x:v>2325</x:v>
      </x:c>
      <x:c r="L274" t="n">
        <x:v>488</x:v>
      </x:c>
      <x:c r="M274" t="n">
        <x:v>506</x:v>
      </x:c>
      <x:c r="N274" t="n">
        <x:v>89</x:v>
      </x:c>
      <x:c r="O274" t="n">
        <x:f>M274+N274</x:f>
        <x:v>595</x:v>
      </x:c>
      <x:c r="P274" s="14" t="n">
        <x:f>M274/1000000*VLOOKUP(H274,'Model Rates'!$A$2:$C$5,2,FALSE)+N274/1000000*VLOOKUP(H274,'Model Rates'!$A$2:$C$5,3,FALSE)</x:f>
        <x:v>0.0015225</x:v>
      </x:c>
      <x:c r="Q274" t="str">
        <x:v>v2.0</x:v>
      </x:c>
      <x:c r="R274" t="n">
        <x:v>1</x:v>
      </x:c>
      <x:c r="S274" s="1" t="b">
        <x:v>0</x:v>
      </x:c>
      <x:c r="T274" t="str">
        <x:v>pass</x:v>
      </x:c>
      <x:c r="U274" s="16" t="n">
        <x:v>0.118</x:v>
      </x:c>
      <x:c r="V274" s="16" t="n">
        <x:v>1</x:v>
      </x:c>
      <x:c r="W274" s="16" t="n">
        <x:v>0.748</x:v>
      </x:c>
      <x:c r="X274" t="str">
        <x:v>positive</x:v>
      </x:c>
      <x:c r="Y274" t="str"/>
    </x:row>
    <x:row r="275">
      <x:c r="A275" s="12" t="n">
        <x:v>46243.90189814815</x:v>
      </x:c>
      <x:c r="B275" t="str">
        <x:v>tr_b825b0dab259</x:v>
      </x:c>
      <x:c r="C275" t="str">
        <x:v>sp_9e9fae8ec9</x:v>
      </x:c>
      <x:c r="D275" t="str">
        <x:v>req_0e2cf00dc719</x:v>
      </x:c>
      <x:c r="E275" t="str">
        <x:v>support-copilot</x:v>
      </x:c>
      <x:c r="F275" t="str">
        <x:v>prod</x:v>
      </x:c>
      <x:c r="G275" t="str">
        <x:v>pro</x:v>
      </x:c>
      <x:c r="H275" t="str">
        <x:v>gpt-5-mini</x:v>
      </x:c>
      <x:c r="I275" t="str">
        <x:v>summarization</x:v>
      </x:c>
      <x:c r="J275" t="str">
        <x:v>success</x:v>
      </x:c>
      <x:c r="K275" t="n">
        <x:v>1310</x:v>
      </x:c>
      <x:c r="L275" t="n">
        <x:v>217</x:v>
      </x:c>
      <x:c r="M275" t="n">
        <x:v>1579</x:v>
      </x:c>
      <x:c r="N275" t="n">
        <x:v>339</x:v>
      </x:c>
      <x:c r="O275" t="n">
        <x:f>M275+N275</x:f>
        <x:v>1918</x:v>
      </x:c>
      <x:c r="P275" s="14" t="n">
        <x:f>M275/1000000*VLOOKUP(H275,'Model Rates'!$A$2:$C$5,2,FALSE)+N275/1000000*VLOOKUP(H275,'Model Rates'!$A$2:$C$5,3,FALSE)</x:f>
        <x:v>0.0011740000000000001</x:v>
      </x:c>
      <x:c r="Q275" t="str">
        <x:v>v1.8</x:v>
      </x:c>
      <x:c r="R275" t="n">
        <x:v>0</x:v>
      </x:c>
      <x:c r="S275" s="1" t="b">
        <x:v>0</x:v>
      </x:c>
      <x:c r="T275" t="str">
        <x:v>pass</x:v>
      </x:c>
      <x:c r="U275" s="16" t="n">
        <x:v>0.086</x:v>
      </x:c>
      <x:c r="V275" s="16" t="n">
        <x:v>0.975</x:v>
      </x:c>
      <x:c r="W275" s="16" t="n">
        <x:v>1</x:v>
      </x:c>
      <x:c r="X275" t="str">
        <x:v>none</x:v>
      </x:c>
      <x:c r="Y275" t="str"/>
    </x:row>
    <x:row r="276">
      <x:c r="A276" s="12" t="n">
        <x:v>46243.90446759259</x:v>
      </x:c>
      <x:c r="B276" t="str">
        <x:v>tr_c805df1e5189</x:v>
      </x:c>
      <x:c r="C276" t="str">
        <x:v>sp_76b37fab20</x:v>
      </x:c>
      <x:c r="D276" t="str">
        <x:v>req_162cd44bfd07</x:v>
      </x:c>
      <x:c r="E276" t="str">
        <x:v>support-copilot</x:v>
      </x:c>
      <x:c r="F276" t="str">
        <x:v>prod</x:v>
      </x:c>
      <x:c r="G276" t="str">
        <x:v>pro</x:v>
      </x:c>
      <x:c r="H276" t="str">
        <x:v>gpt-5-mini</x:v>
      </x:c>
      <x:c r="I276" t="str">
        <x:v>summarization</x:v>
      </x:c>
      <x:c r="J276" t="str">
        <x:v>success</x:v>
      </x:c>
      <x:c r="K276" t="n">
        <x:v>1581</x:v>
      </x:c>
      <x:c r="L276" t="n">
        <x:v>451</x:v>
      </x:c>
      <x:c r="M276" t="n">
        <x:v>1032</x:v>
      </x:c>
      <x:c r="N276" t="n">
        <x:v>410</x:v>
      </x:c>
      <x:c r="O276" t="n">
        <x:f>M276+N276</x:f>
        <x:v>1442</x:v>
      </x:c>
      <x:c r="P276" s="14" t="n">
        <x:f>M276/1000000*VLOOKUP(H276,'Model Rates'!$A$2:$C$5,2,FALSE)+N276/1000000*VLOOKUP(H276,'Model Rates'!$A$2:$C$5,3,FALSE)</x:f>
        <x:v>0.0010688</x:v>
      </x:c>
      <x:c r="Q276" t="str">
        <x:v>v1.8</x:v>
      </x:c>
      <x:c r="R276" t="n">
        <x:v>1</x:v>
      </x:c>
      <x:c r="S276" s="1" t="b">
        <x:v>1</x:v>
      </x:c>
      <x:c r="T276" t="str">
        <x:v>pass</x:v>
      </x:c>
      <x:c r="U276" s="16" t="n">
        <x:v>0.118</x:v>
      </x:c>
      <x:c r="V276" s="16" t="n">
        <x:v>0.933</x:v>
      </x:c>
      <x:c r="W276" s="16" t="n">
        <x:v>0.749</x:v>
      </x:c>
      <x:c r="X276" t="str">
        <x:v>positive</x:v>
      </x:c>
      <x:c r="Y276" t="str"/>
    </x:row>
    <x:row r="277">
      <x:c r="A277" s="12" t="n">
        <x:v>46243.917766203704</x:v>
      </x:c>
      <x:c r="B277" t="str">
        <x:v>tr_1a1fceb330c3</x:v>
      </x:c>
      <x:c r="C277" t="str">
        <x:v>sp_27698162bd</x:v>
      </x:c>
      <x:c r="D277" t="str">
        <x:v>req_d56f3edb2036</x:v>
      </x:c>
      <x:c r="E277" t="str">
        <x:v>search-assistant</x:v>
      </x:c>
      <x:c r="F277" t="str">
        <x:v>prod</x:v>
      </x:c>
      <x:c r="G277" t="str">
        <x:v>enterprise</x:v>
      </x:c>
      <x:c r="H277" t="str">
        <x:v>gpt-5</x:v>
      </x:c>
      <x:c r="I277" t="str">
        <x:v>retrieval_answer</x:v>
      </x:c>
      <x:c r="J277" t="str">
        <x:v>error</x:v>
      </x:c>
      <x:c r="K277" t="n">
        <x:v>1440</x:v>
      </x:c>
      <x:c r="L277" t="n">
        <x:v>624</x:v>
      </x:c>
      <x:c r="M277" t="n">
        <x:v>2523</x:v>
      </x:c>
      <x:c r="N277" t="n">
        <x:v>264</x:v>
      </x:c>
      <x:c r="O277" t="n">
        <x:f>M277+N277</x:f>
        <x:v>2787</x:v>
      </x:c>
      <x:c r="P277" s="14" t="n">
        <x:f>M277/1000000*VLOOKUP(H277,'Model Rates'!$A$2:$C$5,2,FALSE)+N277/1000000*VLOOKUP(H277,'Model Rates'!$A$2:$C$5,3,FALSE)</x:f>
        <x:v>0.00579375</x:v>
      </x:c>
      <x:c r="Q277" t="str">
        <x:v>v1.9</x:v>
      </x:c>
      <x:c r="R277" t="n">
        <x:v>0</x:v>
      </x:c>
      <x:c r="S277" s="1" t="b">
        <x:v>0</x:v>
      </x:c>
      <x:c r="T277" t="str">
        <x:v>pass</x:v>
      </x:c>
      <x:c r="U277" s="16" t="n">
        <x:v>0.237</x:v>
      </x:c>
      <x:c r="V277" s="16" t="n">
        <x:v>0.703</x:v>
      </x:c>
      <x:c r="W277" s="16" t="n">
        <x:v>0.548</x:v>
      </x:c>
      <x:c r="X277" t="str">
        <x:v>positive</x:v>
      </x:c>
      <x:c r="Y277" t="str">
        <x:v>timeout</x:v>
      </x:c>
    </x:row>
    <x:row r="278">
      <x:c r="A278" s="12" t="n">
        <x:v>46243.91835648148</x:v>
      </x:c>
      <x:c r="B278" t="str">
        <x:v>tr_a2acf73f4018</x:v>
      </x:c>
      <x:c r="C278" t="str">
        <x:v>sp_ba3a46276e</x:v>
      </x:c>
      <x:c r="D278" t="str">
        <x:v>req_f8912e04336d</x:v>
      </x:c>
      <x:c r="E278" t="str">
        <x:v>search-assistant</x:v>
      </x:c>
      <x:c r="F278" t="str">
        <x:v>prod</x:v>
      </x:c>
      <x:c r="G278" t="str">
        <x:v>free</x:v>
      </x:c>
      <x:c r="H278" t="str">
        <x:v>gpt-5-mini</x:v>
      </x:c>
      <x:c r="I278" t="str">
        <x:v>tool_agent</x:v>
      </x:c>
      <x:c r="J278" t="str">
        <x:v>error</x:v>
      </x:c>
      <x:c r="K278" t="n">
        <x:v>1527</x:v>
      </x:c>
      <x:c r="L278" t="n">
        <x:v>279</x:v>
      </x:c>
      <x:c r="M278" t="n">
        <x:v>1544</x:v>
      </x:c>
      <x:c r="N278" t="n">
        <x:v>390</x:v>
      </x:c>
      <x:c r="O278" t="n">
        <x:f>M278+N278</x:f>
        <x:v>1934</x:v>
      </x:c>
      <x:c r="P278" s="14" t="n">
        <x:f>M278/1000000*VLOOKUP(H278,'Model Rates'!$A$2:$C$5,2,FALSE)+N278/1000000*VLOOKUP(H278,'Model Rates'!$A$2:$C$5,3,FALSE)</x:f>
        <x:v>0.0012416</x:v>
      </x:c>
      <x:c r="Q278" t="str">
        <x:v>v1.8</x:v>
      </x:c>
      <x:c r="R278" t="n">
        <x:v>0</x:v>
      </x:c>
      <x:c r="S278" s="1" t="b">
        <x:v>0</x:v>
      </x:c>
      <x:c r="T278" t="str">
        <x:v>pass</x:v>
      </x:c>
      <x:c r="U278" s="16" t="n">
        <x:v>0.256</x:v>
      </x:c>
      <x:c r="V278" s="16" t="n">
        <x:v>0.652</x:v>
      </x:c>
      <x:c r="W278" s="16" t="n">
        <x:v>0.724</x:v>
      </x:c>
      <x:c r="X278" t="str">
        <x:v>none</x:v>
      </x:c>
      <x:c r="Y278" t="str">
        <x:v>rate_limit</x:v>
      </x:c>
    </x:row>
    <x:row r="279">
      <x:c r="A279" s="12" t="n">
        <x:v>46243.918391203704</x:v>
      </x:c>
      <x:c r="B279" t="str">
        <x:v>tr_d61462e710ba</x:v>
      </x:c>
      <x:c r="C279" t="str">
        <x:v>sp_b2014df679</x:v>
      </x:c>
      <x:c r="D279" t="str">
        <x:v>req_f8be742f3d46</x:v>
      </x:c>
      <x:c r="E279" t="str">
        <x:v>doc-summarizer</x:v>
      </x:c>
      <x:c r="F279" t="str">
        <x:v>prod</x:v>
      </x:c>
      <x:c r="G279" t="str">
        <x:v>pro</x:v>
      </x:c>
      <x:c r="H279" t="str">
        <x:v>gpt-5</x:v>
      </x:c>
      <x:c r="I279" t="str">
        <x:v>summarization</x:v>
      </x:c>
      <x:c r="J279" t="str">
        <x:v>success</x:v>
      </x:c>
      <x:c r="K279" t="n">
        <x:v>2834</x:v>
      </x:c>
      <x:c r="L279" t="n">
        <x:v>528</x:v>
      </x:c>
      <x:c r="M279" t="n">
        <x:v>1533</x:v>
      </x:c>
      <x:c r="N279" t="n">
        <x:v>245</x:v>
      </x:c>
      <x:c r="O279" t="n">
        <x:f>M279+N279</x:f>
        <x:v>1778</x:v>
      </x:c>
      <x:c r="P279" s="14" t="n">
        <x:f>M279/1000000*VLOOKUP(H279,'Model Rates'!$A$2:$C$5,2,FALSE)+N279/1000000*VLOOKUP(H279,'Model Rates'!$A$2:$C$5,3,FALSE)</x:f>
        <x:v>0.00436625</x:v>
      </x:c>
      <x:c r="Q279" t="str">
        <x:v>v2.0</x:v>
      </x:c>
      <x:c r="R279" t="n">
        <x:v>2</x:v>
      </x:c>
      <x:c r="S279" s="1" t="b">
        <x:v>1</x:v>
      </x:c>
      <x:c r="T279" t="str">
        <x:v>blocked</x:v>
      </x:c>
      <x:c r="U279" s="16" t="n">
        <x:v>0.1</x:v>
      </x:c>
      <x:c r="V279" s="16" t="n">
        <x:v>0.948</x:v>
      </x:c>
      <x:c r="W279" s="16" t="n">
        <x:v>0.892</x:v>
      </x:c>
      <x:c r="X279" t="str">
        <x:v>none</x:v>
      </x:c>
      <x:c r="Y279" t="str"/>
    </x:row>
    <x:row r="280">
      <x:c r="A280" s="12" t="n">
        <x:v>46243.920266203706</x:v>
      </x:c>
      <x:c r="B280" t="str">
        <x:v>tr_c715ab1617d6</x:v>
      </x:c>
      <x:c r="C280" t="str">
        <x:v>sp_4d2b2e13c7</x:v>
      </x:c>
      <x:c r="D280" t="str">
        <x:v>req_368b37569afd</x:v>
      </x:c>
      <x:c r="E280" t="str">
        <x:v>doc-summarizer</x:v>
      </x:c>
      <x:c r="F280" t="str">
        <x:v>prod</x:v>
      </x:c>
      <x:c r="G280" t="str">
        <x:v>free</x:v>
      </x:c>
      <x:c r="H280" t="str">
        <x:v>gpt-5-mini</x:v>
      </x:c>
      <x:c r="I280" t="str">
        <x:v>tool_agent</x:v>
      </x:c>
      <x:c r="J280" t="str">
        <x:v>success</x:v>
      </x:c>
      <x:c r="K280" t="n">
        <x:v>1114</x:v>
      </x:c>
      <x:c r="L280" t="n">
        <x:v>162</x:v>
      </x:c>
      <x:c r="M280" t="n">
        <x:v>329</x:v>
      </x:c>
      <x:c r="N280" t="n">
        <x:v>209</x:v>
      </x:c>
      <x:c r="O280" t="n">
        <x:f>M280+N280</x:f>
        <x:v>538</x:v>
      </x:c>
      <x:c r="P280" s="14" t="n">
        <x:f>M280/1000000*VLOOKUP(H280,'Model Rates'!$A$2:$C$5,2,FALSE)+N280/1000000*VLOOKUP(H280,'Model Rates'!$A$2:$C$5,3,FALSE)</x:f>
        <x:v>0.00046600000000000005</x:v>
      </x:c>
      <x:c r="Q280" t="str">
        <x:v>v1.9</x:v>
      </x:c>
      <x:c r="R280" t="n">
        <x:v>2</x:v>
      </x:c>
      <x:c r="S280" s="1" t="b">
        <x:v>0</x:v>
      </x:c>
      <x:c r="T280" t="str">
        <x:v>pass</x:v>
      </x:c>
      <x:c r="U280" s="16" t="n">
        <x:v>0.096</x:v>
      </x:c>
      <x:c r="V280" s="16" t="n">
        <x:v>0.857</x:v>
      </x:c>
      <x:c r="W280" s="16" t="n">
        <x:v>0.918</x:v>
      </x:c>
      <x:c r="X280" t="str">
        <x:v>positive</x:v>
      </x:c>
      <x:c r="Y280" t="str"/>
    </x:row>
    <x:row r="281">
      <x:c r="A281" s="12" t="n">
        <x:v>46243.92917824074</x:v>
      </x:c>
      <x:c r="B281" t="str">
        <x:v>tr_116fa09d7e99</x:v>
      </x:c>
      <x:c r="C281" t="str">
        <x:v>sp_b08147a60a</x:v>
      </x:c>
      <x:c r="D281" t="str">
        <x:v>req_2d79e49d830f</x:v>
      </x:c>
      <x:c r="E281" t="str">
        <x:v>search-assistant</x:v>
      </x:c>
      <x:c r="F281" t="str">
        <x:v>prod</x:v>
      </x:c>
      <x:c r="G281" t="str">
        <x:v>free</x:v>
      </x:c>
      <x:c r="H281" t="str">
        <x:v>gpt-5</x:v>
      </x:c>
      <x:c r="I281" t="str">
        <x:v>summarization</x:v>
      </x:c>
      <x:c r="J281" t="str">
        <x:v>success</x:v>
      </x:c>
      <x:c r="K281" t="n">
        <x:v>1534</x:v>
      </x:c>
      <x:c r="L281" t="n">
        <x:v>406</x:v>
      </x:c>
      <x:c r="M281" t="n">
        <x:v>1163</x:v>
      </x:c>
      <x:c r="N281" t="n">
        <x:v>186</x:v>
      </x:c>
      <x:c r="O281" t="n">
        <x:f>M281+N281</x:f>
        <x:v>1349</x:v>
      </x:c>
      <x:c r="P281" s="14" t="n">
        <x:f>M281/1000000*VLOOKUP(H281,'Model Rates'!$A$2:$C$5,2,FALSE)+N281/1000000*VLOOKUP(H281,'Model Rates'!$A$2:$C$5,3,FALSE)</x:f>
        <x:v>0.00331375</x:v>
      </x:c>
      <x:c r="Q281" t="str">
        <x:v>v2.0</x:v>
      </x:c>
      <x:c r="R281" t="n">
        <x:v>0</x:v>
      </x:c>
      <x:c r="S281" s="1" t="b">
        <x:v>1</x:v>
      </x:c>
      <x:c r="T281" t="str">
        <x:v>pass</x:v>
      </x:c>
      <x:c r="U281" s="16" t="n">
        <x:v>0</x:v>
      </x:c>
      <x:c r="V281" s="16" t="n">
        <x:v>0.952</x:v>
      </x:c>
      <x:c r="W281" s="16" t="n">
        <x:v>0.936</x:v>
      </x:c>
      <x:c r="X281" t="str">
        <x:v>none</x:v>
      </x:c>
      <x:c r="Y281" t="str"/>
    </x:row>
    <x:row r="282">
      <x:c r="A282" s="12" t="n">
        <x:v>46243.930138888885</x:v>
      </x:c>
      <x:c r="B282" t="str">
        <x:v>tr_c02a30299883</x:v>
      </x:c>
      <x:c r="C282" t="str">
        <x:v>sp_21994e4f28</x:v>
      </x:c>
      <x:c r="D282" t="str">
        <x:v>req_3ef266246767</x:v>
      </x:c>
      <x:c r="E282" t="str">
        <x:v>search-assistant</x:v>
      </x:c>
      <x:c r="F282" t="str">
        <x:v>prod</x:v>
      </x:c>
      <x:c r="G282" t="str">
        <x:v>pro</x:v>
      </x:c>
      <x:c r="H282" t="str">
        <x:v>gemini-pro</x:v>
      </x:c>
      <x:c r="I282" t="str">
        <x:v>chat_completion</x:v>
      </x:c>
      <x:c r="J282" t="str">
        <x:v>success</x:v>
      </x:c>
      <x:c r="K282" t="n">
        <x:v>1393</x:v>
      </x:c>
      <x:c r="L282" t="n">
        <x:v>415</x:v>
      </x:c>
      <x:c r="M282" t="n">
        <x:v>1165</x:v>
      </x:c>
      <x:c r="N282" t="n">
        <x:v>322</x:v>
      </x:c>
      <x:c r="O282" t="n">
        <x:f>M282+N282</x:f>
        <x:v>1487</x:v>
      </x:c>
      <x:c r="P282" s="14" t="n">
        <x:f>M282/1000000*VLOOKUP(H282,'Model Rates'!$A$2:$C$5,2,FALSE)+N282/1000000*VLOOKUP(H282,'Model Rates'!$A$2:$C$5,3,FALSE)</x:f>
        <x:v>0.0030662500000000004</x:v>
      </x:c>
      <x:c r="Q282" t="str">
        <x:v>v1.8</x:v>
      </x:c>
      <x:c r="R282" t="n">
        <x:v>0</x:v>
      </x:c>
      <x:c r="S282" s="1" t="b">
        <x:v>0</x:v>
      </x:c>
      <x:c r="T282" t="str">
        <x:v>pass</x:v>
      </x:c>
      <x:c r="U282" s="16" t="n">
        <x:v>0.035</x:v>
      </x:c>
      <x:c r="V282" s="16" t="n">
        <x:v>0.929</x:v>
      </x:c>
      <x:c r="W282" s="16" t="n">
        <x:v>0.828</x:v>
      </x:c>
      <x:c r="X282" t="str">
        <x:v>none</x:v>
      </x:c>
      <x:c r="Y282" t="str"/>
    </x:row>
    <x:row r="283">
      <x:c r="A283" s="12" t="n">
        <x:v>46243.93298611111</x:v>
      </x:c>
      <x:c r="B283" t="str">
        <x:v>tr_2b7695e84059</x:v>
      </x:c>
      <x:c r="C283" t="str">
        <x:v>sp_bdead4a666</x:v>
      </x:c>
      <x:c r="D283" t="str">
        <x:v>req_fa4fe50f52e3</x:v>
      </x:c>
      <x:c r="E283" t="str">
        <x:v>agent-workflow</x:v>
      </x:c>
      <x:c r="F283" t="str">
        <x:v>prod</x:v>
      </x:c>
      <x:c r="G283" t="str">
        <x:v>pro</x:v>
      </x:c>
      <x:c r="H283" t="str">
        <x:v>gpt-5</x:v>
      </x:c>
      <x:c r="I283" t="str">
        <x:v>chat_completion</x:v>
      </x:c>
      <x:c r="J283" t="str">
        <x:v>error</x:v>
      </x:c>
      <x:c r="K283" t="n">
        <x:v>1666</x:v>
      </x:c>
      <x:c r="L283" t="n">
        <x:v>449</x:v>
      </x:c>
      <x:c r="M283" t="n">
        <x:v>685</x:v>
      </x:c>
      <x:c r="N283" t="n">
        <x:v>321</x:v>
      </x:c>
      <x:c r="O283" t="n">
        <x:f>M283+N283</x:f>
        <x:v>1006</x:v>
      </x:c>
      <x:c r="P283" s="14" t="n">
        <x:f>M283/1000000*VLOOKUP(H283,'Model Rates'!$A$2:$C$5,2,FALSE)+N283/1000000*VLOOKUP(H283,'Model Rates'!$A$2:$C$5,3,FALSE)</x:f>
        <x:v>0.00406625</x:v>
      </x:c>
      <x:c r="Q283" t="str">
        <x:v>v2.0</x:v>
      </x:c>
      <x:c r="R283" t="n">
        <x:v>0</x:v>
      </x:c>
      <x:c r="S283" s="1" t="b">
        <x:v>1</x:v>
      </x:c>
      <x:c r="T283" t="str">
        <x:v>blocked</x:v>
      </x:c>
      <x:c r="U283" s="16" t="n">
        <x:v>0.326</x:v>
      </x:c>
      <x:c r="V283" s="16" t="n">
        <x:v>0.772</x:v>
      </x:c>
      <x:c r="W283" s="16" t="n">
        <x:v>0.68</x:v>
      </x:c>
      <x:c r="X283" t="str">
        <x:v>none</x:v>
      </x:c>
      <x:c r="Y283" t="str">
        <x:v>timeout</x:v>
      </x:c>
    </x:row>
    <x:row r="284">
      <x:c r="A284" s="12" t="n">
        <x:v>46243.93524305556</x:v>
      </x:c>
      <x:c r="B284" t="str">
        <x:v>tr_b0cc868c73db</x:v>
      </x:c>
      <x:c r="C284" t="str">
        <x:v>sp_7afdd51759</x:v>
      </x:c>
      <x:c r="D284" t="str">
        <x:v>req_d67d39973db0</x:v>
      </x:c>
      <x:c r="E284" t="str">
        <x:v>doc-summarizer</x:v>
      </x:c>
      <x:c r="F284" t="str">
        <x:v>prod</x:v>
      </x:c>
      <x:c r="G284" t="str">
        <x:v>pro</x:v>
      </x:c>
      <x:c r="H284" t="str">
        <x:v>claude-sonnet</x:v>
      </x:c>
      <x:c r="I284" t="str">
        <x:v>retrieval_answer</x:v>
      </x:c>
      <x:c r="J284" t="str">
        <x:v>success</x:v>
      </x:c>
      <x:c r="K284" t="n">
        <x:v>1373</x:v>
      </x:c>
      <x:c r="L284" t="n">
        <x:v>258</x:v>
      </x:c>
      <x:c r="M284" t="n">
        <x:v>1223</x:v>
      </x:c>
      <x:c r="N284" t="n">
        <x:v>416</x:v>
      </x:c>
      <x:c r="O284" t="n">
        <x:f>M284+N284</x:f>
        <x:v>1639</x:v>
      </x:c>
      <x:c r="P284" s="14" t="n">
        <x:f>M284/1000000*VLOOKUP(H284,'Model Rates'!$A$2:$C$5,2,FALSE)+N284/1000000*VLOOKUP(H284,'Model Rates'!$A$2:$C$5,3,FALSE)</x:f>
        <x:v>0.009909</x:v>
      </x:c>
      <x:c r="Q284" t="str">
        <x:v>v2.0</x:v>
      </x:c>
      <x:c r="R284" t="n">
        <x:v>1</x:v>
      </x:c>
      <x:c r="S284" s="1" t="b">
        <x:v>0</x:v>
      </x:c>
      <x:c r="T284" t="str">
        <x:v>blocked</x:v>
      </x:c>
      <x:c r="U284" s="16" t="n">
        <x:v>0.07</x:v>
      </x:c>
      <x:c r="V284" s="16" t="n">
        <x:v>0.817</x:v>
      </x:c>
      <x:c r="W284" s="16" t="n">
        <x:v>0.752</x:v>
      </x:c>
      <x:c r="X284" t="str">
        <x:v>none</x:v>
      </x:c>
      <x:c r="Y284" t="str"/>
    </x:row>
    <x:row r="285">
      <x:c r="A285" s="12" t="n">
        <x:v>46243.93788194445</x:v>
      </x:c>
      <x:c r="B285" t="str">
        <x:v>tr_5b2367aa596d</x:v>
      </x:c>
      <x:c r="C285" t="str">
        <x:v>sp_5404f4701e</x:v>
      </x:c>
      <x:c r="D285" t="str">
        <x:v>req_77a8b1c99ef5</x:v>
      </x:c>
      <x:c r="E285" t="str">
        <x:v>search-assistant</x:v>
      </x:c>
      <x:c r="F285" t="str">
        <x:v>prod</x:v>
      </x:c>
      <x:c r="G285" t="str">
        <x:v>pro</x:v>
      </x:c>
      <x:c r="H285" t="str">
        <x:v>gpt-5-mini</x:v>
      </x:c>
      <x:c r="I285" t="str">
        <x:v>retrieval_answer</x:v>
      </x:c>
      <x:c r="J285" t="str">
        <x:v>success</x:v>
      </x:c>
      <x:c r="K285" t="n">
        <x:v>895</x:v>
      </x:c>
      <x:c r="L285" t="n">
        <x:v>238</x:v>
      </x:c>
      <x:c r="M285" t="n">
        <x:v>2552</x:v>
      </x:c>
      <x:c r="N285" t="n">
        <x:v>262</x:v>
      </x:c>
      <x:c r="O285" t="n">
        <x:f>M285+N285</x:f>
        <x:v>2814</x:v>
      </x:c>
      <x:c r="P285" s="14" t="n">
        <x:f>M285/1000000*VLOOKUP(H285,'Model Rates'!$A$2:$C$5,2,FALSE)+N285/1000000*VLOOKUP(H285,'Model Rates'!$A$2:$C$5,3,FALSE)</x:f>
        <x:v>0.00144</x:v>
      </x:c>
      <x:c r="Q285" t="str">
        <x:v>v1.9</x:v>
      </x:c>
      <x:c r="R285" t="n">
        <x:v>0</x:v>
      </x:c>
      <x:c r="S285" s="1" t="b">
        <x:v>1</x:v>
      </x:c>
      <x:c r="T285" t="str">
        <x:v>pass</x:v>
      </x:c>
      <x:c r="U285" s="16" t="n">
        <x:v>0.095</x:v>
      </x:c>
      <x:c r="V285" s="16" t="n">
        <x:v>0.821</x:v>
      </x:c>
      <x:c r="W285" s="16" t="n">
        <x:v>0.934</x:v>
      </x:c>
      <x:c r="X285" t="str">
        <x:v>none</x:v>
      </x:c>
      <x:c r="Y285" t="str"/>
    </x:row>
    <x:row r="286">
      <x:c r="A286" s="12" t="n">
        <x:v>46243.94546296296</x:v>
      </x:c>
      <x:c r="B286" t="str">
        <x:v>tr_b7809e757093</x:v>
      </x:c>
      <x:c r="C286" t="str">
        <x:v>sp_a2bf41b09e</x:v>
      </x:c>
      <x:c r="D286" t="str">
        <x:v>req_8dd8beb5760d</x:v>
      </x:c>
      <x:c r="E286" t="str">
        <x:v>support-copilot</x:v>
      </x:c>
      <x:c r="F286" t="str">
        <x:v>prod</x:v>
      </x:c>
      <x:c r="G286" t="str">
        <x:v>pro</x:v>
      </x:c>
      <x:c r="H286" t="str">
        <x:v>gpt-5-mini</x:v>
      </x:c>
      <x:c r="I286" t="str">
        <x:v>retrieval_answer</x:v>
      </x:c>
      <x:c r="J286" t="str">
        <x:v>error</x:v>
      </x:c>
      <x:c r="K286" t="n">
        <x:v>762</x:v>
      </x:c>
      <x:c r="L286" t="n">
        <x:v>298</x:v>
      </x:c>
      <x:c r="M286" t="n">
        <x:v>1312</x:v>
      </x:c>
      <x:c r="N286" t="n">
        <x:v>350</x:v>
      </x:c>
      <x:c r="O286" t="n">
        <x:f>M286+N286</x:f>
        <x:v>1662</x:v>
      </x:c>
      <x:c r="P286" s="14" t="n">
        <x:f>M286/1000000*VLOOKUP(H286,'Model Rates'!$A$2:$C$5,2,FALSE)+N286/1000000*VLOOKUP(H286,'Model Rates'!$A$2:$C$5,3,FALSE)</x:f>
        <x:v>0.0010848000000000001</x:v>
      </x:c>
      <x:c r="Q286" t="str">
        <x:v>v1.9</x:v>
      </x:c>
      <x:c r="R286" t="n">
        <x:v>0</x:v>
      </x:c>
      <x:c r="S286" s="1" t="b">
        <x:v>0</x:v>
      </x:c>
      <x:c r="T286" t="str">
        <x:v>pass</x:v>
      </x:c>
      <x:c r="U286" s="16" t="n">
        <x:v>0.196</x:v>
      </x:c>
      <x:c r="V286" s="16" t="n">
        <x:v>0.573</x:v>
      </x:c>
      <x:c r="W286" s="16" t="n">
        <x:v>0.64</x:v>
      </x:c>
      <x:c r="X286" t="str">
        <x:v>none</x:v>
      </x:c>
      <x:c r="Y286" t="str">
        <x:v>provider_5xx</x:v>
      </x:c>
    </x:row>
    <x:row r="287">
      <x:c r="A287" s="12" t="n">
        <x:v>46243.948275462964</x:v>
      </x:c>
      <x:c r="B287" t="str">
        <x:v>tr_0c137011cb93</x:v>
      </x:c>
      <x:c r="C287" t="str">
        <x:v>sp_d962ca35db</x:v>
      </x:c>
      <x:c r="D287" t="str">
        <x:v>req_5668cd4bd983</x:v>
      </x:c>
      <x:c r="E287" t="str">
        <x:v>search-assistant</x:v>
      </x:c>
      <x:c r="F287" t="str">
        <x:v>prod</x:v>
      </x:c>
      <x:c r="G287" t="str">
        <x:v>free</x:v>
      </x:c>
      <x:c r="H287" t="str">
        <x:v>gpt-5</x:v>
      </x:c>
      <x:c r="I287" t="str">
        <x:v>summarization</x:v>
      </x:c>
      <x:c r="J287" t="str">
        <x:v>success</x:v>
      </x:c>
      <x:c r="K287" t="n">
        <x:v>2085</x:v>
      </x:c>
      <x:c r="L287" t="n">
        <x:v>325</x:v>
      </x:c>
      <x:c r="M287" t="n">
        <x:v>2287</x:v>
      </x:c>
      <x:c r="N287" t="n">
        <x:v>200</x:v>
      </x:c>
      <x:c r="O287" t="n">
        <x:f>M287+N287</x:f>
        <x:v>2487</x:v>
      </x:c>
      <x:c r="P287" s="14" t="n">
        <x:f>M287/1000000*VLOOKUP(H287,'Model Rates'!$A$2:$C$5,2,FALSE)+N287/1000000*VLOOKUP(H287,'Model Rates'!$A$2:$C$5,3,FALSE)</x:f>
        <x:v>0.00485875</x:v>
      </x:c>
      <x:c r="Q287" t="str">
        <x:v>v1.8</x:v>
      </x:c>
      <x:c r="R287" t="n">
        <x:v>0</x:v>
      </x:c>
      <x:c r="S287" s="1" t="b">
        <x:v>0</x:v>
      </x:c>
      <x:c r="T287" t="str">
        <x:v>pass</x:v>
      </x:c>
      <x:c r="U287" s="16" t="n">
        <x:v>0.098</x:v>
      </x:c>
      <x:c r="V287" s="16" t="n">
        <x:v>0.956</x:v>
      </x:c>
      <x:c r="W287" s="16" t="n">
        <x:v>0.779</x:v>
      </x:c>
      <x:c r="X287" t="str">
        <x:v>none</x:v>
      </x:c>
      <x:c r="Y287" t="str"/>
    </x:row>
    <x:row r="288">
      <x:c r="A288" s="12" t="n">
        <x:v>46243.95079861111</x:v>
      </x:c>
      <x:c r="B288" t="str">
        <x:v>tr_387013240bec</x:v>
      </x:c>
      <x:c r="C288" t="str">
        <x:v>sp_0283c8c8d3</x:v>
      </x:c>
      <x:c r="D288" t="str">
        <x:v>req_96c3d96e50c5</x:v>
      </x:c>
      <x:c r="E288" t="str">
        <x:v>agent-workflow</x:v>
      </x:c>
      <x:c r="F288" t="str">
        <x:v>prod</x:v>
      </x:c>
      <x:c r="G288" t="str">
        <x:v>free</x:v>
      </x:c>
      <x:c r="H288" t="str">
        <x:v>gpt-5-mini</x:v>
      </x:c>
      <x:c r="I288" t="str">
        <x:v>summarization</x:v>
      </x:c>
      <x:c r="J288" t="str">
        <x:v>success</x:v>
      </x:c>
      <x:c r="K288" t="n">
        <x:v>768</x:v>
      </x:c>
      <x:c r="L288" t="n">
        <x:v>196</x:v>
      </x:c>
      <x:c r="M288" t="n">
        <x:v>185</x:v>
      </x:c>
      <x:c r="N288" t="n">
        <x:v>228</x:v>
      </x:c>
      <x:c r="O288" t="n">
        <x:f>M288+N288</x:f>
        <x:v>413</x:v>
      </x:c>
      <x:c r="P288" s="14" t="n">
        <x:f>M288/1000000*VLOOKUP(H288,'Model Rates'!$A$2:$C$5,2,FALSE)+N288/1000000*VLOOKUP(H288,'Model Rates'!$A$2:$C$5,3,FALSE)</x:f>
        <x:v>0.00043880000000000004</x:v>
      </x:c>
      <x:c r="Q288" t="str">
        <x:v>v1.8</x:v>
      </x:c>
      <x:c r="R288" t="n">
        <x:v>0</x:v>
      </x:c>
      <x:c r="S288" s="1" t="b">
        <x:v>0</x:v>
      </x:c>
      <x:c r="T288" t="str">
        <x:v>pass</x:v>
      </x:c>
      <x:c r="U288" s="16" t="n">
        <x:v>0.157</x:v>
      </x:c>
      <x:c r="V288" s="16" t="n">
        <x:v>0.988</x:v>
      </x:c>
      <x:c r="W288" s="16" t="n">
        <x:v>0.715</x:v>
      </x:c>
      <x:c r="X288" t="str">
        <x:v>none</x:v>
      </x:c>
      <x:c r="Y288" t="str"/>
    </x:row>
    <x:row r="289">
      <x:c r="A289" s="12" t="n">
        <x:v>46243.96712962963</x:v>
      </x:c>
      <x:c r="B289" t="str">
        <x:v>tr_54e461e6d529</x:v>
      </x:c>
      <x:c r="C289" t="str">
        <x:v>sp_3e3e187881</x:v>
      </x:c>
      <x:c r="D289" t="str">
        <x:v>req_fe7001f14df5</x:v>
      </x:c>
      <x:c r="E289" t="str">
        <x:v>search-assistant</x:v>
      </x:c>
      <x:c r="F289" t="str">
        <x:v>staging</x:v>
      </x:c>
      <x:c r="G289" t="str">
        <x:v>free</x:v>
      </x:c>
      <x:c r="H289" t="str">
        <x:v>gpt-5-mini</x:v>
      </x:c>
      <x:c r="I289" t="str">
        <x:v>retrieval_answer</x:v>
      </x:c>
      <x:c r="J289" t="str">
        <x:v>success</x:v>
      </x:c>
      <x:c r="K289" t="n">
        <x:v>1743</x:v>
      </x:c>
      <x:c r="L289" t="n">
        <x:v>214</x:v>
      </x:c>
      <x:c r="M289" t="n">
        <x:v>1414</x:v>
      </x:c>
      <x:c r="N289" t="n">
        <x:v>201</x:v>
      </x:c>
      <x:c r="O289" t="n">
        <x:f>M289+N289</x:f>
        <x:v>1615</x:v>
      </x:c>
      <x:c r="P289" s="14" t="n">
        <x:f>M289/1000000*VLOOKUP(H289,'Model Rates'!$A$2:$C$5,2,FALSE)+N289/1000000*VLOOKUP(H289,'Model Rates'!$A$2:$C$5,3,FALSE)</x:f>
        <x:v>0.0008872</x:v>
      </x:c>
      <x:c r="Q289" t="str">
        <x:v>v1.8</x:v>
      </x:c>
      <x:c r="R289" t="n">
        <x:v>1</x:v>
      </x:c>
      <x:c r="S289" s="1" t="b">
        <x:v>0</x:v>
      </x:c>
      <x:c r="T289" t="str">
        <x:v>review</x:v>
      </x:c>
      <x:c r="U289" s="16" t="n">
        <x:v>0.058</x:v>
      </x:c>
      <x:c r="V289" s="16" t="n">
        <x:v>0.956</x:v>
      </x:c>
      <x:c r="W289" s="16" t="n">
        <x:v>0.94</x:v>
      </x:c>
      <x:c r="X289" t="str">
        <x:v>none</x:v>
      </x:c>
      <x:c r="Y289" t="str"/>
    </x:row>
    <x:row r="290">
      <x:c r="A290" s="12" t="n">
        <x:v>46243.96729166667</x:v>
      </x:c>
      <x:c r="B290" t="str">
        <x:v>tr_959d516c3ab9</x:v>
      </x:c>
      <x:c r="C290" t="str">
        <x:v>sp_58147d7b0c</x:v>
      </x:c>
      <x:c r="D290" t="str">
        <x:v>req_c15882af6696</x:v>
      </x:c>
      <x:c r="E290" t="str">
        <x:v>doc-summarizer</x:v>
      </x:c>
      <x:c r="F290" t="str">
        <x:v>staging</x:v>
      </x:c>
      <x:c r="G290" t="str">
        <x:v>free</x:v>
      </x:c>
      <x:c r="H290" t="str">
        <x:v>gpt-5-mini</x:v>
      </x:c>
      <x:c r="I290" t="str">
        <x:v>retrieval_answer</x:v>
      </x:c>
      <x:c r="J290" t="str">
        <x:v>success</x:v>
      </x:c>
      <x:c r="K290" t="n">
        <x:v>1349</x:v>
      </x:c>
      <x:c r="L290" t="n">
        <x:v>283</x:v>
      </x:c>
      <x:c r="M290" t="n">
        <x:v>1419</x:v>
      </x:c>
      <x:c r="N290" t="n">
        <x:v>567</x:v>
      </x:c>
      <x:c r="O290" t="n">
        <x:f>M290+N290</x:f>
        <x:v>1986</x:v>
      </x:c>
      <x:c r="P290" s="14" t="n">
        <x:f>M290/1000000*VLOOKUP(H290,'Model Rates'!$A$2:$C$5,2,FALSE)+N290/1000000*VLOOKUP(H290,'Model Rates'!$A$2:$C$5,3,FALSE)</x:f>
        <x:v>0.0014748</x:v>
      </x:c>
      <x:c r="Q290" t="str">
        <x:v>v1.8</x:v>
      </x:c>
      <x:c r="R290" t="n">
        <x:v>1</x:v>
      </x:c>
      <x:c r="S290" s="1" t="b">
        <x:v>0</x:v>
      </x:c>
      <x:c r="T290" t="str">
        <x:v>blocked</x:v>
      </x:c>
      <x:c r="U290" s="16" t="n">
        <x:v>0</x:v>
      </x:c>
      <x:c r="V290" s="16" t="n">
        <x:v>1</x:v>
      </x:c>
      <x:c r="W290" s="16" t="n">
        <x:v>0.762</x:v>
      </x:c>
      <x:c r="X290" t="str">
        <x:v>none</x:v>
      </x:c>
      <x:c r="Y290" t="str"/>
    </x:row>
    <x:row r="291">
      <x:c r="A291" s="12" t="n">
        <x:v>46243.96880787037</x:v>
      </x:c>
      <x:c r="B291" t="str">
        <x:v>tr_9d6fbf7ac0bd</x:v>
      </x:c>
      <x:c r="C291" t="str">
        <x:v>sp_51bc2ab05b</x:v>
      </x:c>
      <x:c r="D291" t="str">
        <x:v>req_fb706f1d5750</x:v>
      </x:c>
      <x:c r="E291" t="str">
        <x:v>agent-workflow</x:v>
      </x:c>
      <x:c r="F291" t="str">
        <x:v>prod</x:v>
      </x:c>
      <x:c r="G291" t="str">
        <x:v>free</x:v>
      </x:c>
      <x:c r="H291" t="str">
        <x:v>gpt-5</x:v>
      </x:c>
      <x:c r="I291" t="str">
        <x:v>chat_completion</x:v>
      </x:c>
      <x:c r="J291" t="str">
        <x:v>success</x:v>
      </x:c>
      <x:c r="K291" t="n">
        <x:v>2413</x:v>
      </x:c>
      <x:c r="L291" t="n">
        <x:v>306</x:v>
      </x:c>
      <x:c r="M291" t="n">
        <x:v>592</x:v>
      </x:c>
      <x:c r="N291" t="n">
        <x:v>225</x:v>
      </x:c>
      <x:c r="O291" t="n">
        <x:f>M291+N291</x:f>
        <x:v>817</x:v>
      </x:c>
      <x:c r="P291" s="14" t="n">
        <x:f>M291/1000000*VLOOKUP(H291,'Model Rates'!$A$2:$C$5,2,FALSE)+N291/1000000*VLOOKUP(H291,'Model Rates'!$A$2:$C$5,3,FALSE)</x:f>
        <x:v>0.0029899999999999996</x:v>
      </x:c>
      <x:c r="Q291" t="str">
        <x:v>v2.0</x:v>
      </x:c>
      <x:c r="R291" t="n">
        <x:v>0</x:v>
      </x:c>
      <x:c r="S291" s="1" t="b">
        <x:v>0</x:v>
      </x:c>
      <x:c r="T291" t="str">
        <x:v>pass</x:v>
      </x:c>
      <x:c r="U291" s="16" t="n">
        <x:v>0.02</x:v>
      </x:c>
      <x:c r="V291" s="16" t="n">
        <x:v>0.929</x:v>
      </x:c>
      <x:c r="W291" s="16" t="n">
        <x:v>0.924</x:v>
      </x:c>
      <x:c r="X291" t="str">
        <x:v>none</x:v>
      </x:c>
      <x:c r="Y291" t="str"/>
    </x:row>
    <x:row r="292">
      <x:c r="A292" s="12" t="n">
        <x:v>46243.97002314815</x:v>
      </x:c>
      <x:c r="B292" t="str">
        <x:v>tr_b427d863e1b5</x:v>
      </x:c>
      <x:c r="C292" t="str">
        <x:v>sp_47301ed635</x:v>
      </x:c>
      <x:c r="D292" t="str">
        <x:v>req_ffdae7ea8d73</x:v>
      </x:c>
      <x:c r="E292" t="str">
        <x:v>doc-summarizer</x:v>
      </x:c>
      <x:c r="F292" t="str">
        <x:v>prod</x:v>
      </x:c>
      <x:c r="G292" t="str">
        <x:v>free</x:v>
      </x:c>
      <x:c r="H292" t="str">
        <x:v>gpt-5-mini</x:v>
      </x:c>
      <x:c r="I292" t="str">
        <x:v>chat_completion</x:v>
      </x:c>
      <x:c r="J292" t="str">
        <x:v>success</x:v>
      </x:c>
      <x:c r="K292" t="n">
        <x:v>888</x:v>
      </x:c>
      <x:c r="L292" t="n">
        <x:v>236</x:v>
      </x:c>
      <x:c r="M292" t="n">
        <x:v>4862</x:v>
      </x:c>
      <x:c r="N292" t="n">
        <x:v>132</x:v>
      </x:c>
      <x:c r="O292" t="n">
        <x:f>M292+N292</x:f>
        <x:v>4994</x:v>
      </x:c>
      <x:c r="P292" s="14" t="n">
        <x:f>M292/1000000*VLOOKUP(H292,'Model Rates'!$A$2:$C$5,2,FALSE)+N292/1000000*VLOOKUP(H292,'Model Rates'!$A$2:$C$5,3,FALSE)</x:f>
        <x:v>0.002156</x:v>
      </x:c>
      <x:c r="Q292" t="str">
        <x:v>v1.8</x:v>
      </x:c>
      <x:c r="R292" t="n">
        <x:v>0</x:v>
      </x:c>
      <x:c r="S292" s="1" t="b">
        <x:v>1</x:v>
      </x:c>
      <x:c r="T292" t="str">
        <x:v>blocked</x:v>
      </x:c>
      <x:c r="U292" s="16" t="n">
        <x:v>0.026</x:v>
      </x:c>
      <x:c r="V292" s="16" t="n">
        <x:v>0.872</x:v>
      </x:c>
      <x:c r="W292" s="16" t="n">
        <x:v>0.751</x:v>
      </x:c>
      <x:c r="X292" t="str">
        <x:v>none</x:v>
      </x:c>
      <x:c r="Y292" t="str"/>
    </x:row>
    <x:row r="293">
      <x:c r="A293" s="12" t="n">
        <x:v>46243.97236111111</x:v>
      </x:c>
      <x:c r="B293" t="str">
        <x:v>tr_929b5e88a104</x:v>
      </x:c>
      <x:c r="C293" t="str">
        <x:v>sp_23c5b7929d</x:v>
      </x:c>
      <x:c r="D293" t="str">
        <x:v>req_8c9dba3dfda6</x:v>
      </x:c>
      <x:c r="E293" t="str">
        <x:v>doc-summarizer</x:v>
      </x:c>
      <x:c r="F293" t="str">
        <x:v>prod</x:v>
      </x:c>
      <x:c r="G293" t="str">
        <x:v>pro</x:v>
      </x:c>
      <x:c r="H293" t="str">
        <x:v>gpt-5-mini</x:v>
      </x:c>
      <x:c r="I293" t="str">
        <x:v>summarization</x:v>
      </x:c>
      <x:c r="J293" t="str">
        <x:v>error</x:v>
      </x:c>
      <x:c r="K293" t="n">
        <x:v>741</x:v>
      </x:c>
      <x:c r="L293" t="n">
        <x:v>205</x:v>
      </x:c>
      <x:c r="M293" t="n">
        <x:v>907</x:v>
      </x:c>
      <x:c r="N293" t="n">
        <x:v>548</x:v>
      </x:c>
      <x:c r="O293" t="n">
        <x:f>M293+N293</x:f>
        <x:v>1455</x:v>
      </x:c>
      <x:c r="P293" s="14" t="n">
        <x:f>M293/1000000*VLOOKUP(H293,'Model Rates'!$A$2:$C$5,2,FALSE)+N293/1000000*VLOOKUP(H293,'Model Rates'!$A$2:$C$5,3,FALSE)</x:f>
        <x:v>0.0012396</x:v>
      </x:c>
      <x:c r="Q293" t="str">
        <x:v>v1.9</x:v>
      </x:c>
      <x:c r="R293" t="n">
        <x:v>0</x:v>
      </x:c>
      <x:c r="S293" s="1" t="b">
        <x:v>1</x:v>
      </x:c>
      <x:c r="T293" t="str">
        <x:v>pass</x:v>
      </x:c>
      <x:c r="U293" s="16" t="n">
        <x:v>0.173</x:v>
      </x:c>
      <x:c r="V293" s="16" t="n">
        <x:v>0.698</x:v>
      </x:c>
      <x:c r="W293" s="16" t="n">
        <x:v>0.496</x:v>
      </x:c>
      <x:c r="X293" t="str">
        <x:v>positive</x:v>
      </x:c>
      <x:c r="Y293" t="str">
        <x:v>provider_5xx</x:v>
      </x:c>
    </x:row>
    <x:row r="294">
      <x:c r="A294" s="12" t="n">
        <x:v>46243.97289351852</x:v>
      </x:c>
      <x:c r="B294" t="str">
        <x:v>tr_e01eed224ba0</x:v>
      </x:c>
      <x:c r="C294" t="str">
        <x:v>sp_a391662a4d</x:v>
      </x:c>
      <x:c r="D294" t="str">
        <x:v>req_b8cfcff7a259</x:v>
      </x:c>
      <x:c r="E294" t="str">
        <x:v>agent-workflow</x:v>
      </x:c>
      <x:c r="F294" t="str">
        <x:v>prod</x:v>
      </x:c>
      <x:c r="G294" t="str">
        <x:v>free</x:v>
      </x:c>
      <x:c r="H294" t="str">
        <x:v>gpt-5</x:v>
      </x:c>
      <x:c r="I294" t="str">
        <x:v>retrieval_answer</x:v>
      </x:c>
      <x:c r="J294" t="str">
        <x:v>success</x:v>
      </x:c>
      <x:c r="K294" t="n">
        <x:v>2679</x:v>
      </x:c>
      <x:c r="L294" t="n">
        <x:v>435</x:v>
      </x:c>
      <x:c r="M294" t="n">
        <x:v>264</x:v>
      </x:c>
      <x:c r="N294" t="n">
        <x:v>143</x:v>
      </x:c>
      <x:c r="O294" t="n">
        <x:f>M294+N294</x:f>
        <x:v>407</x:v>
      </x:c>
      <x:c r="P294" s="14" t="n">
        <x:f>M294/1000000*VLOOKUP(H294,'Model Rates'!$A$2:$C$5,2,FALSE)+N294/1000000*VLOOKUP(H294,'Model Rates'!$A$2:$C$5,3,FALSE)</x:f>
        <x:v>0.00176</x:v>
      </x:c>
      <x:c r="Q294" t="str">
        <x:v>v2.0</x:v>
      </x:c>
      <x:c r="R294" t="n">
        <x:v>1</x:v>
      </x:c>
      <x:c r="S294" s="1" t="b">
        <x:v>0</x:v>
      </x:c>
      <x:c r="T294" t="str">
        <x:v>blocked</x:v>
      </x:c>
      <x:c r="U294" s="16" t="n">
        <x:v>0.172</x:v>
      </x:c>
      <x:c r="V294" s="16" t="n">
        <x:v>0.903</x:v>
      </x:c>
      <x:c r="W294" s="16" t="n">
        <x:v>0.792</x:v>
      </x:c>
      <x:c r="X294" t="str">
        <x:v>none</x:v>
      </x:c>
      <x:c r="Y294" t="str"/>
    </x:row>
    <x:row r="295">
      <x:c r="A295" s="12" t="n">
        <x:v>46243.97568287037</x:v>
      </x:c>
      <x:c r="B295" t="str">
        <x:v>tr_a51dbc0955d4</x:v>
      </x:c>
      <x:c r="C295" t="str">
        <x:v>sp_4225a891d3</x:v>
      </x:c>
      <x:c r="D295" t="str">
        <x:v>req_20c80c1ae6eb</x:v>
      </x:c>
      <x:c r="E295" t="str">
        <x:v>agent-workflow</x:v>
      </x:c>
      <x:c r="F295" t="str">
        <x:v>prod</x:v>
      </x:c>
      <x:c r="G295" t="str">
        <x:v>enterprise</x:v>
      </x:c>
      <x:c r="H295" t="str">
        <x:v>gpt-5-mini</x:v>
      </x:c>
      <x:c r="I295" t="str">
        <x:v>chat_completion</x:v>
      </x:c>
      <x:c r="J295" t="str">
        <x:v>success</x:v>
      </x:c>
      <x:c r="K295" t="n">
        <x:v>1260</x:v>
      </x:c>
      <x:c r="L295" t="n">
        <x:v>243</x:v>
      </x:c>
      <x:c r="M295" t="n">
        <x:v>324</x:v>
      </x:c>
      <x:c r="N295" t="n">
        <x:v>311</x:v>
      </x:c>
      <x:c r="O295" t="n">
        <x:f>M295+N295</x:f>
        <x:v>635</x:v>
      </x:c>
      <x:c r="P295" s="14" t="n">
        <x:f>M295/1000000*VLOOKUP(H295,'Model Rates'!$A$2:$C$5,2,FALSE)+N295/1000000*VLOOKUP(H295,'Model Rates'!$A$2:$C$5,3,FALSE)</x:f>
        <x:v>0.0006272000000000001</x:v>
      </x:c>
      <x:c r="Q295" t="str">
        <x:v>v1.9</x:v>
      </x:c>
      <x:c r="R295" t="n">
        <x:v>0</x:v>
      </x:c>
      <x:c r="S295" s="1" t="b">
        <x:v>1</x:v>
      </x:c>
      <x:c r="T295" t="str">
        <x:v>review</x:v>
      </x:c>
      <x:c r="U295" s="16" t="n">
        <x:v>0.098</x:v>
      </x:c>
      <x:c r="V295" s="16" t="n">
        <x:v>0.93</x:v>
      </x:c>
      <x:c r="W295" s="16" t="n">
        <x:v>0.688</x:v>
      </x:c>
      <x:c r="X295" t="str">
        <x:v>none</x:v>
      </x:c>
      <x:c r="Y295" t="str"/>
    </x:row>
    <x:row r="296">
      <x:c r="A296" s="12" t="n">
        <x:v>46243.98006944444</x:v>
      </x:c>
      <x:c r="B296" t="str">
        <x:v>tr_254ee068b818</x:v>
      </x:c>
      <x:c r="C296" t="str">
        <x:v>sp_fff9128539</x:v>
      </x:c>
      <x:c r="D296" t="str">
        <x:v>req_22c52bad845f</x:v>
      </x:c>
      <x:c r="E296" t="str">
        <x:v>search-assistant</x:v>
      </x:c>
      <x:c r="F296" t="str">
        <x:v>prod</x:v>
      </x:c>
      <x:c r="G296" t="str">
        <x:v>free</x:v>
      </x:c>
      <x:c r="H296" t="str">
        <x:v>gpt-5-mini</x:v>
      </x:c>
      <x:c r="I296" t="str">
        <x:v>tool_agent</x:v>
      </x:c>
      <x:c r="J296" t="str">
        <x:v>success</x:v>
      </x:c>
      <x:c r="K296" t="n">
        <x:v>2040</x:v>
      </x:c>
      <x:c r="L296" t="n">
        <x:v>255</x:v>
      </x:c>
      <x:c r="M296" t="n">
        <x:v>616</x:v>
      </x:c>
      <x:c r="N296" t="n">
        <x:v>579</x:v>
      </x:c>
      <x:c r="O296" t="n">
        <x:f>M296+N296</x:f>
        <x:v>1195</x:v>
      </x:c>
      <x:c r="P296" s="14" t="n">
        <x:f>M296/1000000*VLOOKUP(H296,'Model Rates'!$A$2:$C$5,2,FALSE)+N296/1000000*VLOOKUP(H296,'Model Rates'!$A$2:$C$5,3,FALSE)</x:f>
        <x:v>0.0011727999999999999</x:v>
      </x:c>
      <x:c r="Q296" t="str">
        <x:v>v1.8</x:v>
      </x:c>
      <x:c r="R296" t="n">
        <x:v>2</x:v>
      </x:c>
      <x:c r="S296" s="1" t="b">
        <x:v>1</x:v>
      </x:c>
      <x:c r="T296" t="str">
        <x:v>pass</x:v>
      </x:c>
      <x:c r="U296" s="16" t="n">
        <x:v>0.188</x:v>
      </x:c>
      <x:c r="V296" s="16" t="n">
        <x:v>0.87</x:v>
      </x:c>
      <x:c r="W296" s="16" t="n">
        <x:v>0.803</x:v>
      </x:c>
      <x:c r="X296" t="str">
        <x:v>none</x:v>
      </x:c>
      <x:c r="Y296" t="str"/>
    </x:row>
    <x:row r="297">
      <x:c r="A297" s="12" t="n">
        <x:v>46243.98112268518</x:v>
      </x:c>
      <x:c r="B297" t="str">
        <x:v>tr_275a396bebb1</x:v>
      </x:c>
      <x:c r="C297" t="str">
        <x:v>sp_39f014efb9</x:v>
      </x:c>
      <x:c r="D297" t="str">
        <x:v>req_92cf955016ca</x:v>
      </x:c>
      <x:c r="E297" t="str">
        <x:v>doc-summarizer</x:v>
      </x:c>
      <x:c r="F297" t="str">
        <x:v>staging</x:v>
      </x:c>
      <x:c r="G297" t="str">
        <x:v>free</x:v>
      </x:c>
      <x:c r="H297" t="str">
        <x:v>gpt-5-mini</x:v>
      </x:c>
      <x:c r="I297" t="str">
        <x:v>chat_completion</x:v>
      </x:c>
      <x:c r="J297" t="str">
        <x:v>success</x:v>
      </x:c>
      <x:c r="K297" t="n">
        <x:v>1291</x:v>
      </x:c>
      <x:c r="L297" t="n">
        <x:v>297</x:v>
      </x:c>
      <x:c r="M297" t="n">
        <x:v>529</x:v>
      </x:c>
      <x:c r="N297" t="n">
        <x:v>440</x:v>
      </x:c>
      <x:c r="O297" t="n">
        <x:f>M297+N297</x:f>
        <x:v>969</x:v>
      </x:c>
      <x:c r="P297" s="14" t="n">
        <x:f>M297/1000000*VLOOKUP(H297,'Model Rates'!$A$2:$C$5,2,FALSE)+N297/1000000*VLOOKUP(H297,'Model Rates'!$A$2:$C$5,3,FALSE)</x:f>
        <x:v>0.0009156000000000001</x:v>
      </x:c>
      <x:c r="Q297" t="str">
        <x:v>v1.8</x:v>
      </x:c>
      <x:c r="R297" t="n">
        <x:v>1</x:v>
      </x:c>
      <x:c r="S297" s="1" t="b">
        <x:v>1</x:v>
      </x:c>
      <x:c r="T297" t="str">
        <x:v>blocked</x:v>
      </x:c>
      <x:c r="U297" s="16" t="n">
        <x:v>0.113</x:v>
      </x:c>
      <x:c r="V297" s="16" t="n">
        <x:v>0.817</x:v>
      </x:c>
      <x:c r="W297" s="16" t="n">
        <x:v>0.86</x:v>
      </x:c>
      <x:c r="X297" t="str">
        <x:v>negative</x:v>
      </x:c>
      <x:c r="Y297" t="str"/>
    </x:row>
    <x:row r="298">
      <x:c r="A298" s="12" t="n">
        <x:v>46243.98248842593</x:v>
      </x:c>
      <x:c r="B298" t="str">
        <x:v>tr_20aa20782b80</x:v>
      </x:c>
      <x:c r="C298" t="str">
        <x:v>sp_c67acca6d6</x:v>
      </x:c>
      <x:c r="D298" t="str">
        <x:v>req_24a642128f45</x:v>
      </x:c>
      <x:c r="E298" t="str">
        <x:v>support-copilot</x:v>
      </x:c>
      <x:c r="F298" t="str">
        <x:v>prod</x:v>
      </x:c>
      <x:c r="G298" t="str">
        <x:v>free</x:v>
      </x:c>
      <x:c r="H298" t="str">
        <x:v>gemini-pro</x:v>
      </x:c>
      <x:c r="I298" t="str">
        <x:v>retrieval_answer</x:v>
      </x:c>
      <x:c r="J298" t="str">
        <x:v>success</x:v>
      </x:c>
      <x:c r="K298" t="n">
        <x:v>1330</x:v>
      </x:c>
      <x:c r="L298" t="n">
        <x:v>172</x:v>
      </x:c>
      <x:c r="M298" t="n">
        <x:v>366</x:v>
      </x:c>
      <x:c r="N298" t="n">
        <x:v>169</x:v>
      </x:c>
      <x:c r="O298" t="n">
        <x:f>M298+N298</x:f>
        <x:v>535</x:v>
      </x:c>
      <x:c r="P298" s="14" t="n">
        <x:f>M298/1000000*VLOOKUP(H298,'Model Rates'!$A$2:$C$5,2,FALSE)+N298/1000000*VLOOKUP(H298,'Model Rates'!$A$2:$C$5,3,FALSE)</x:f>
        <x:v>0.0013024999999999998</x:v>
      </x:c>
      <x:c r="Q298" t="str">
        <x:v>v1.9</x:v>
      </x:c>
      <x:c r="R298" t="n">
        <x:v>0</x:v>
      </x:c>
      <x:c r="S298" s="1" t="b">
        <x:v>0</x:v>
      </x:c>
      <x:c r="T298" t="str">
        <x:v>blocked</x:v>
      </x:c>
      <x:c r="U298" s="16" t="n">
        <x:v>0.096</x:v>
      </x:c>
      <x:c r="V298" s="16" t="n">
        <x:v>0.767</x:v>
      </x:c>
      <x:c r="W298" s="16" t="n">
        <x:v>0.846</x:v>
      </x:c>
      <x:c r="X298" t="str">
        <x:v>negative</x:v>
      </x:c>
      <x:c r="Y298" t="str"/>
    </x:row>
    <x:row r="299">
      <x:c r="A299" s="12" t="n">
        <x:v>46243.982939814814</x:v>
      </x:c>
      <x:c r="B299" t="str">
        <x:v>tr_a37517e63e62</x:v>
      </x:c>
      <x:c r="C299" t="str">
        <x:v>sp_82932beca7</x:v>
      </x:c>
      <x:c r="D299" t="str">
        <x:v>req_ab412dc36c73</x:v>
      </x:c>
      <x:c r="E299" t="str">
        <x:v>support-copilot</x:v>
      </x:c>
      <x:c r="F299" t="str">
        <x:v>prod</x:v>
      </x:c>
      <x:c r="G299" t="str">
        <x:v>pro</x:v>
      </x:c>
      <x:c r="H299" t="str">
        <x:v>gpt-5-mini</x:v>
      </x:c>
      <x:c r="I299" t="str">
        <x:v>chat_completion</x:v>
      </x:c>
      <x:c r="J299" t="str">
        <x:v>success</x:v>
      </x:c>
      <x:c r="K299" t="n">
        <x:v>1480</x:v>
      </x:c>
      <x:c r="L299" t="n">
        <x:v>230</x:v>
      </x:c>
      <x:c r="M299" t="n">
        <x:v>298</x:v>
      </x:c>
      <x:c r="N299" t="n">
        <x:v>208</x:v>
      </x:c>
      <x:c r="O299" t="n">
        <x:f>M299+N299</x:f>
        <x:v>506</x:v>
      </x:c>
      <x:c r="P299" s="14" t="n">
        <x:f>M299/1000000*VLOOKUP(H299,'Model Rates'!$A$2:$C$5,2,FALSE)+N299/1000000*VLOOKUP(H299,'Model Rates'!$A$2:$C$5,3,FALSE)</x:f>
        <x:v>0.00045200000000000004</x:v>
      </x:c>
      <x:c r="Q299" t="str">
        <x:v>v2.0</x:v>
      </x:c>
      <x:c r="R299" t="n">
        <x:v>0</x:v>
      </x:c>
      <x:c r="S299" s="1" t="b">
        <x:v>1</x:v>
      </x:c>
      <x:c r="T299" t="str">
        <x:v>blocked</x:v>
      </x:c>
      <x:c r="U299" s="16" t="n">
        <x:v>0.049</x:v>
      </x:c>
      <x:c r="V299" s="16" t="n">
        <x:v>0.755</x:v>
      </x:c>
      <x:c r="W299" s="16" t="n">
        <x:v>0.896</x:v>
      </x:c>
      <x:c r="X299" t="str">
        <x:v>positive</x:v>
      </x:c>
      <x:c r="Y299" t="str"/>
    </x:row>
    <x:row r="300">
      <x:c r="A300" s="12" t="n">
        <x:v>46243.98590277778</x:v>
      </x:c>
      <x:c r="B300" t="str">
        <x:v>tr_4280232138ab</x:v>
      </x:c>
      <x:c r="C300" t="str">
        <x:v>sp_276ffa324b</x:v>
      </x:c>
      <x:c r="D300" t="str">
        <x:v>req_1dacd616a805</x:v>
      </x:c>
      <x:c r="E300" t="str">
        <x:v>support-copilot</x:v>
      </x:c>
      <x:c r="F300" t="str">
        <x:v>prod</x:v>
      </x:c>
      <x:c r="G300" t="str">
        <x:v>free</x:v>
      </x:c>
      <x:c r="H300" t="str">
        <x:v>claude-sonnet</x:v>
      </x:c>
      <x:c r="I300" t="str">
        <x:v>retrieval_answer</x:v>
      </x:c>
      <x:c r="J300" t="str">
        <x:v>success</x:v>
      </x:c>
      <x:c r="K300" t="n">
        <x:v>1860</x:v>
      </x:c>
      <x:c r="L300" t="n">
        <x:v>442</x:v>
      </x:c>
      <x:c r="M300" t="n">
        <x:v>457</x:v>
      </x:c>
      <x:c r="N300" t="n">
        <x:v>194</x:v>
      </x:c>
      <x:c r="O300" t="n">
        <x:f>M300+N300</x:f>
        <x:v>651</x:v>
      </x:c>
      <x:c r="P300" s="14" t="n">
        <x:f>M300/1000000*VLOOKUP(H300,'Model Rates'!$A$2:$C$5,2,FALSE)+N300/1000000*VLOOKUP(H300,'Model Rates'!$A$2:$C$5,3,FALSE)</x:f>
        <x:v>0.004281</x:v>
      </x:c>
      <x:c r="Q300" t="str">
        <x:v>v2.0</x:v>
      </x:c>
      <x:c r="R300" t="n">
        <x:v>0</x:v>
      </x:c>
      <x:c r="S300" s="1" t="b">
        <x:v>0</x:v>
      </x:c>
      <x:c r="T300" t="str">
        <x:v>pass</x:v>
      </x:c>
      <x:c r="U300" s="16" t="n">
        <x:v>0.029</x:v>
      </x:c>
      <x:c r="V300" s="16" t="n">
        <x:v>1</x:v>
      </x:c>
      <x:c r="W300" s="16" t="n">
        <x:v>0.762</x:v>
      </x:c>
      <x:c r="X300" t="str">
        <x:v>none</x:v>
      </x:c>
      <x:c r="Y300" t="str"/>
    </x:row>
    <x:row r="301">
      <x:c r="A301" s="12" t="n">
        <x:v>46243.99190972222</x:v>
      </x:c>
      <x:c r="B301" t="str">
        <x:v>tr_075f521a81ff</x:v>
      </x:c>
      <x:c r="C301" t="str">
        <x:v>sp_c9ecdffc4e</x:v>
      </x:c>
      <x:c r="D301" t="str">
        <x:v>req_64e26913927a</x:v>
      </x:c>
      <x:c r="E301" t="str">
        <x:v>agent-workflow</x:v>
      </x:c>
      <x:c r="F301" t="str">
        <x:v>staging</x:v>
      </x:c>
      <x:c r="G301" t="str">
        <x:v>enterprise</x:v>
      </x:c>
      <x:c r="H301" t="str">
        <x:v>gpt-5</x:v>
      </x:c>
      <x:c r="I301" t="str">
        <x:v>tool_agent</x:v>
      </x:c>
      <x:c r="J301" t="str">
        <x:v>success</x:v>
      </x:c>
      <x:c r="K301" t="n">
        <x:v>2831</x:v>
      </x:c>
      <x:c r="L301" t="n">
        <x:v>621</x:v>
      </x:c>
      <x:c r="M301" t="n">
        <x:v>1243</x:v>
      </x:c>
      <x:c r="N301" t="n">
        <x:v>257</x:v>
      </x:c>
      <x:c r="O301" t="n">
        <x:f>M301+N301</x:f>
        <x:v>1500</x:v>
      </x:c>
      <x:c r="P301" s="14" t="n">
        <x:f>M301/1000000*VLOOKUP(H301,'Model Rates'!$A$2:$C$5,2,FALSE)+N301/1000000*VLOOKUP(H301,'Model Rates'!$A$2:$C$5,3,FALSE)</x:f>
        <x:v>0.004123750000000001</x:v>
      </x:c>
      <x:c r="Q301" t="str">
        <x:v>v2.0</x:v>
      </x:c>
      <x:c r="R301" t="n">
        <x:v>2</x:v>
      </x:c>
      <x:c r="S301" s="1" t="b">
        <x:v>0</x:v>
      </x:c>
      <x:c r="T301" t="str">
        <x:v>blocked</x:v>
      </x:c>
      <x:c r="U301" s="16" t="n">
        <x:v>0.101</x:v>
      </x:c>
      <x:c r="V301" s="16" t="n">
        <x:v>0.973</x:v>
      </x:c>
      <x:c r="W301" s="16" t="n">
        <x:v>0.889</x:v>
      </x:c>
      <x:c r="X301" t="str">
        <x:v>positive</x:v>
      </x:c>
      <x:c r="Y301" t="str"/>
    </x:row>
  </x:sheetData>
  <x:conditionalFormatting sqref="K2:K301">
    <x:cfRule type="dataBar" priority="1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{199D6B19-5367-A54E-1157-B6429A836DD6}</x14:id>
        </x:ext>
      </x:extLst>
    </x:cfRule>
  </x:conditionalFormatting>
  <x:conditionalFormatting sqref="U2:U301">
    <x:cfRule type="colorScale" priority="2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conditionalFormatting sqref="V2:W301">
    <x:cfRule type="colorScale" priority="3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conditionalFormatting sqref="J2:J301">
    <x:cfRule type="expression" dxfId="0" priority="4">
      <x:formula>J2="error"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e6807beb7d14e68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199D6B19-5367-A54E-1157-B6429A836DD6}">
            <x14:dataBar gradient="1">
              <x14:cfvo type="min"/>
              <x14:cfvo type="max"/>
              <x14:fillColor rgb="FF156082"/>
            </x14:dataBar>
          </x14:cfRule>
          <xm:sqref>K2:K301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8" hidden="0" customWidth="1"/>
    <x:col min="3" max="3" width="18" hidden="0" customWidth="1"/>
    <x:col min="4" max="4" width="20" hidden="0" customWidth="1"/>
    <x:col min="5" max="5" width="16" hidden="0" customWidth="1"/>
    <x:col min="6" max="6" width="18" hidden="0" customWidth="1"/>
    <x:col min="7" max="7" width="16" hidden="0" customWidth="1"/>
  </x:cols>
  <x:sheetData>
    <x:row r="1" ht="28" customHeight="1">
      <x:c r="A1" s="25" t="str">
        <x:v>AI Observability — Synthetic Simulation</x:v>
      </x:c>
      <x:c r="B1" s="25"/>
      <x:c r="C1" s="25"/>
      <x:c r="D1" s="25"/>
      <x:c r="E1" s="25"/>
      <x:c r="F1" s="25"/>
      <x:c r="G1" s="25"/>
      <x:c r="H1" s="25"/>
    </x:row>
    <x:row r="3">
      <x:c r="A3" s="7" t="str">
        <x:v>KPI</x:v>
      </x:c>
      <x:c r="B3" s="7" t="str">
        <x:v>Value</x:v>
      </x:c>
      <x:c r="D3" s="7" t="str">
        <x:v>Model</x:v>
      </x:c>
      <x:c r="E3" s="7" t="str">
        <x:v>Requests</x:v>
      </x:c>
      <x:c r="F3" s="7" t="str">
        <x:v>Avg Latency</x:v>
      </x:c>
      <x:c r="G3" s="7" t="str">
        <x:v>Error Rate</x:v>
      </x:c>
    </x:row>
    <x:row r="4">
      <x:c r="A4" t="str">
        <x:v>Total Requests</x:v>
      </x:c>
      <x:c r="B4" t="n">
        <x:f>COUNTA(Events!D2:D301)</x:f>
        <x:v>300</x:v>
      </x:c>
      <x:c r="D4" t="str">
        <x:v>gpt-5-mini</x:v>
      </x:c>
      <x:c r="E4" t="n">
        <x:f>COUNTIF(Events!H2:H301,D4)</x:f>
        <x:v>136</x:v>
      </x:c>
      <x:c r="F4" s="32" t="n">
        <x:f>SUMIF(Events!H2:H301,D4,Events!K2:K301)/E4</x:f>
        <x:v>1267.1911764705883</x:v>
      </x:c>
      <x:c r="G4" s="30" t="n">
        <x:f>COUNTIFS(Events!H2:H301,D4,Events!J2:J301,"error")/E4</x:f>
        <x:v>0.19852941176470587</x:v>
      </x:c>
    </x:row>
    <x:row r="5">
      <x:c r="A5" t="str">
        <x:v>Success Rate</x:v>
      </x:c>
      <x:c r="B5" s="30" t="n">
        <x:f>COUNTIF(Events!J2:J301,"success")/B4</x:f>
        <x:v>0.8233333333333334</x:v>
      </x:c>
      <x:c r="D5" t="str">
        <x:v>gpt-5</x:v>
      </x:c>
      <x:c r="E5" t="n">
        <x:f>COUNTIF(Events!H2:H301,D5)</x:f>
        <x:v>81</x:v>
      </x:c>
      <x:c r="F5" s="32" t="n">
        <x:f>SUMIF(Events!H2:H301,D5,Events!K2:K301)/E5</x:f>
        <x:v>1935.9259259259259</x:v>
      </x:c>
      <x:c r="G5" s="30" t="n">
        <x:f>COUNTIFS(Events!H2:H301,D5,Events!J2:J301,"error")/E5</x:f>
        <x:v>0.18518518518518517</x:v>
      </x:c>
    </x:row>
    <x:row r="6">
      <x:c r="A6" t="str">
        <x:v>Average Latency (ms)</x:v>
      </x:c>
      <x:c r="B6" s="32" t="n">
        <x:f>AVERAGE(Events!K2:K301)</x:f>
        <x:v>1507.3633333333332</x:v>
      </x:c>
      <x:c r="D6" t="str">
        <x:v>claude-sonnet</x:v>
      </x:c>
      <x:c r="E6" t="n">
        <x:f>COUNTIF(Events!H2:H301,D6)</x:f>
        <x:v>49</x:v>
      </x:c>
      <x:c r="F6" s="32" t="n">
        <x:f>SUMIF(Events!H2:H301,D6,Events!K2:K301)/E6</x:f>
        <x:v>1643.8367346938776</x:v>
      </x:c>
      <x:c r="G6" s="30" t="n">
        <x:f>COUNTIFS(Events!H2:H301,D6,Events!J2:J301,"error")/E6</x:f>
        <x:v>0.10204081632653061</x:v>
      </x:c>
    </x:row>
    <x:row r="7">
      <x:c r="A7" t="str">
        <x:v>Total Tokens</x:v>
      </x:c>
      <x:c r="B7" s="32" t="n">
        <x:f>SUM(Events!O2:O301)</x:f>
        <x:v>420742</x:v>
      </x:c>
      <x:c r="D7" t="str">
        <x:v>gemini-pro</x:v>
      </x:c>
      <x:c r="E7" t="n">
        <x:f>COUNTIF(Events!H2:H301,D7)</x:f>
        <x:v>34</x:v>
      </x:c>
      <x:c r="F7" s="32" t="n">
        <x:f>SUMIF(Events!H2:H301,D7,Events!K2:K301)/E7</x:f>
        <x:v>1250.3823529411766</x:v>
      </x:c>
      <x:c r="G7" s="30" t="n">
        <x:f>COUNTIFS(Events!H2:H301,D7,Events!J2:J301,"error")/E7</x:f>
        <x:v>0.17647058823529413</x:v>
      </x:c>
    </x:row>
    <x:row r="8">
      <x:c r="A8" t="str">
        <x:v>Estimated Cost</x:v>
      </x:c>
      <x:c r="B8" s="34" t="n">
        <x:f>SUM(Events!P2:P301)</x:f>
        <x:v>0.9728229500000004</x:v>
      </x:c>
      <x:c r="D8" t="str">
        <x:v>All</x:v>
      </x:c>
      <x:c r="E8" t="n">
        <x:f>B4</x:f>
        <x:v>300</x:v>
      </x:c>
      <x:c r="F8" s="32" t="n">
        <x:f>B6</x:f>
        <x:v>1507.3633333333332</x:v>
      </x:c>
      <x:c r="G8" s="30" t="n">
        <x:f>COUNTIF(Events!J2:J301,"error")/B4</x:f>
        <x:v>0.17666666666666667</x:v>
      </x:c>
    </x:row>
    <x:row r="11">
      <x:c r="A11" s="7" t="str">
        <x:v>Quality / Safety Metric</x:v>
      </x:c>
      <x:c r="B11" s="7" t="str">
        <x:v>Average</x:v>
      </x:c>
      <x:c r="C11" s="7" t="str">
        <x:v>Low Threshold</x:v>
      </x:c>
      <x:c r="D11" s="7" t="str">
        <x:v>Flagged Count</x:v>
      </x:c>
      <x:c r="F11" s="7" t="str">
        <x:v>Error Type</x:v>
      </x:c>
      <x:c r="G11" s="7" t="str">
        <x:v>Count</x:v>
      </x:c>
    </x:row>
    <x:row r="12">
      <x:c r="A12" t="str">
        <x:v>Hallucination score</x:v>
      </x:c>
      <x:c r="B12" s="16" t="n">
        <x:f>AVERAGE(Events!U2:U301)</x:f>
        <x:v>0.10780666666666663</x:v>
      </x:c>
      <x:c r="C12" s="16" t="n">
        <x:v>0.2</x:v>
      </x:c>
      <x:c r="D12" t="n">
        <x:f>COUNTIF(Events!U2:U301,"&gt;0.2")</x:f>
        <x:v>35</x:v>
      </x:c>
      <x:c r="F12" t="str">
        <x:v>timeout</x:v>
      </x:c>
      <x:c r="G12" t="n">
        <x:f>COUNTIF(Events!Y2:Y301,F12)</x:f>
        <x:v>16</x:v>
      </x:c>
    </x:row>
    <x:row r="13">
      <x:c r="A13" t="str">
        <x:v>Relevance score</x:v>
      </x:c>
      <x:c r="B13" s="16" t="n">
        <x:f>AVERAGE(Events!V2:V301)</x:f>
        <x:v>0.8511966666666669</x:v>
      </x:c>
      <x:c r="C13" s="16" t="n">
        <x:v>0.75</x:v>
      </x:c>
      <x:c r="D13" t="n">
        <x:f>COUNTIF(Events!V2:V301,"&lt;0.75")</x:f>
        <x:v>52</x:v>
      </x:c>
      <x:c r="F13" t="str">
        <x:v>rate_limit</x:v>
      </x:c>
      <x:c r="G13" t="n">
        <x:f>COUNTIF(Events!Y2:Y301,F13)</x:f>
        <x:v>11</x:v>
      </x:c>
    </x:row>
    <x:row r="14">
      <x:c r="A14" t="str">
        <x:v>Groundedness score</x:v>
      </x:c>
      <x:c r="B14" s="16" t="n">
        <x:f>AVERAGE(Events!W2:W301)</x:f>
        <x:v>0.8156433333333334</x:v>
      </x:c>
      <x:c r="C14" s="16" t="n">
        <x:v>0.75</x:v>
      </x:c>
      <x:c r="D14" t="n">
        <x:f>COUNTIF(Events!W2:W301,"&lt;0.75")</x:f>
        <x:v>86</x:v>
      </x:c>
      <x:c r="F14" t="str">
        <x:v>provider_5xx</x:v>
      </x:c>
      <x:c r="G14" t="n">
        <x:f>COUNTIF(Events!Y2:Y301,F14)</x:f>
        <x:v>16</x:v>
      </x:c>
    </x:row>
    <x:row r="15">
      <x:c r="A15" t="str">
        <x:v>Guardrail review/blocked</x:v>
      </x:c>
      <x:c r="B15"/>
      <x:c r="C15"/>
      <x:c r="D15" t="n">
        <x:f>COUNTIF(Events!T2:T301,"review")+COUNTIF(Events!T2:T301,"blocked")</x:f>
        <x:v>109</x:v>
      </x:c>
      <x:c r="F15" t="str">
        <x:v>tool_error</x:v>
      </x:c>
      <x:c r="G15" t="n">
        <x:f>COUNTIF(Events!Y2:Y301,F15)</x:f>
        <x:v>10</x:v>
      </x:c>
    </x:row>
    <x:row r="16">
      <x:c r="A16" t="str">
        <x:v>Negative user feedback</x:v>
      </x:c>
      <x:c r="B16"/>
      <x:c r="C16"/>
      <x:c r="D16" t="n">
        <x:f>COUNTIF(Events!X2:X301,"negative")</x:f>
        <x:v>34</x:v>
      </x:c>
      <x:c r="F16" t="str">
        <x:v>No error</x:v>
      </x:c>
      <x:c r="G16" t="n">
        <x:f>COUNTIF(Events!J2:J301,"success")</x:f>
        <x:v>247</x:v>
      </x:c>
    </x:row>
    <x:row r="19">
      <x:c r="A19" s="39" t="str">
        <x:v>Synthetic dataset for observability testing. IDs, metrics, costs, quality scores, safety outcomes, and provider/model rates are simulated and should not be treated as production facts.</x:v>
      </x:c>
      <x:c r="B19" s="39"/>
      <x:c r="C19" s="39"/>
      <x:c r="D19" s="39"/>
      <x:c r="E19" s="39"/>
      <x:c r="F19" s="39"/>
      <x:c r="G19" s="39"/>
      <x:c r="H19" s="39"/>
    </x:row>
    <x:row r="20">
      <x:c r="A20" s="39"/>
      <x:c r="B20" s="39"/>
      <x:c r="C20" s="39"/>
      <x:c r="D20" s="39"/>
      <x:c r="E20" s="39"/>
      <x:c r="F20" s="39"/>
      <x:c r="G20" s="39"/>
      <x:c r="H20" s="39"/>
    </x:row>
    <x:row r="21">
      <x:c r="A21" s="39"/>
      <x:c r="B21" s="39"/>
      <x:c r="C21" s="39"/>
      <x:c r="D21" s="39"/>
      <x:c r="E21" s="39"/>
      <x:c r="F21" s="39"/>
      <x:c r="G21" s="39"/>
      <x:c r="H21" s="39"/>
    </x:row>
  </x:sheetData>
  <x:mergeCells>
    <x:mergeCell ref="A1:H1"/>
    <x:mergeCell ref="A19:H21"/>
  </x:mergeCells>
  <x:pageMargins left="0.7" right="0.7" top="0.75" bottom="0.75" header="0.3" footer="0.3"/>
  <x:drawing xmlns:r="http://schemas.openxmlformats.org/officeDocument/2006/relationships" r:id="Rb7985eacbe964cfe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5" max="5" width="70" hidden="0" customWidth="1"/>
  </x:cols>
  <x:sheetData>
    <x:row r="1">
      <x:c r="A1" s="7" t="str">
        <x:v>model</x:v>
      </x:c>
      <x:c r="B1" s="7" t="str">
        <x:v>input_usd_per_1m</x:v>
      </x:c>
      <x:c r="C1" s="7" t="str">
        <x:v>output_usd_per_1m</x:v>
      </x:c>
      <x:c r="E1" s="7" t="str">
        <x:v>Note</x:v>
      </x:c>
    </x:row>
    <x:row r="2">
      <x:c r="A2" t="str">
        <x:v>gpt-5-mini</x:v>
      </x:c>
      <x:c r="B2" s="18" t="n">
        <x:v>0.4</x:v>
      </x:c>
      <x:c r="C2" s="18" t="n">
        <x:v>1.6</x:v>
      </x:c>
      <x:c r="E2" s="20" t="str">
        <x:v>Rates are synthetic placeholders for simulation/testing only, not current provider pricing.</x:v>
      </x:c>
    </x:row>
    <x:row r="3">
      <x:c r="A3" t="str">
        <x:v>gpt-5</x:v>
      </x:c>
      <x:c r="B3" s="18" t="n">
        <x:v>1.25</x:v>
      </x:c>
      <x:c r="C3" s="18" t="n">
        <x:v>10</x:v>
      </x:c>
    </x:row>
    <x:row r="4">
      <x:c r="A4" t="str">
        <x:v>claude-sonnet</x:v>
      </x:c>
      <x:c r="B4" s="18" t="n">
        <x:v>3</x:v>
      </x:c>
      <x:c r="C4" s="18" t="n">
        <x:v>15</x:v>
      </x:c>
    </x:row>
    <x:row r="5">
      <x:c r="A5" t="str">
        <x:v>gemini-pro</x:v>
      </x:c>
      <x:c r="B5" s="18" t="n">
        <x:v>1.25</x:v>
      </x:c>
      <x:c r="C5" s="18" t="n">
        <x:v>5</x:v>
      </x:c>
    </x:row>
  </x:sheetData>
  <x:pageMargins left="0.7" right="0.7" top="0.75" bottom="0.75" header="0.3" footer="0.3"/>
</x:worksheet>
</file>