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f706916d9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 Runs" sheetId="1" r:id="R09ba2b3a6b2e4612"/>
    <x:sheet xmlns:r="http://schemas.openxmlformats.org/officeDocument/2006/relationships" name="Tool Calls" sheetId="2" r:id="R3507098be43844fb"/>
    <x:sheet xmlns:r="http://schemas.openxmlformats.org/officeDocument/2006/relationships" name="Summary" sheetId="3" r:id="R3e7b424f263f4203"/>
    <x:sheet xmlns:r="http://schemas.openxmlformats.org/officeDocument/2006/relationships" name="README" sheetId="4" r:id="R1c1431f34d57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.0%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c4b7a7d8b4f13" /><Relationship Type="http://schemas.openxmlformats.org/officeDocument/2006/relationships/theme" Target="/xl/theme/theme1.xml" Id="R58384326f53247e9" /><Relationship Type="http://schemas.microsoft.com/office/2022/11/relationships/FeaturePropertyBag" Target="/xl/featurePropertyBag/featurePropertyBag.xml" Id="Ra07dc9a36b15420a" /><Relationship Type="http://schemas.openxmlformats.org/officeDocument/2006/relationships/sharedStrings" Target="/xl/sharedStrings.xml" Id="R18aecfcbe6fa4e90" /><Relationship Type="http://schemas.openxmlformats.org/officeDocument/2006/relationships/worksheet" Target="/xl/worksheets/sheet1.xml" Id="R09ba2b3a6b2e4612" /><Relationship Type="http://schemas.openxmlformats.org/officeDocument/2006/relationships/worksheet" Target="/xl/worksheets/sheet2.xml" Id="R3507098be43844fb" /><Relationship Type="http://schemas.openxmlformats.org/officeDocument/2006/relationships/worksheet" Target="/xl/worksheets/sheet3.xml" Id="R3e7b424f263f4203" /><Relationship Type="http://schemas.openxmlformats.org/officeDocument/2006/relationships/worksheet" Target="/xl/worksheets/sheet4.xml" Id="R1c1431f34d5742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db03fc94604a7d" /><Relationship Type="http://schemas.openxmlformats.org/officeDocument/2006/relationships/chart" Target="/xl/drawings/charts/chart2.xml" Id="R03a57798971148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Tool Call Volume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Calls</c:v>
          </c:tx>
          <c:cat>
            <c:strRef>
              <c:f>'Summary'!$D$4:$D$11</c:f>
              <c:strCache>
                <c:ptCount val="0"/>
              </c:strCache>
            </c:strRef>
          </c:cat>
          <c:val>
            <c:numRef>
              <c:f>'Summary'!$E$4:$E$11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Tool Success Rates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Calls</c:v>
          </c:tx>
          <c:cat>
            <c:strRef>
              <c:f>'Summary'!$D$4:$D$11</c:f>
              <c:strCache>
                <c:ptCount val="0"/>
              </c:strCache>
            </c:strRef>
          </c:cat>
          <c:val>
            <c:numRef>
              <c:f>'Summary'!$E$4:$E$11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Success Rate</c:v>
          </c:tx>
          <c:cat>
            <c:strRef>
              <c:f>'Summary'!$D$4:$D$11</c:f>
              <c:strCache>
                <c:ptCount val="0"/>
              </c:strCache>
            </c:strRef>
          </c:cat>
          <c:val>
            <c:numRef>
              <c:f>'Summary'!$F$4:$F$11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db03fc94604a7d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a577989711480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ticAgentRuns" displayName="SyntheticAgentRuns" ref="A1:L25" headerRowCount="1" totalsRowCount="0" totalsRowShown="0">
  <x:tableColumns count="12">
    <x:tableColumn id="1" name="timestamp"/>
    <x:tableColumn id="2" name="run_id"/>
    <x:tableColumn id="3" name="run_type"/>
    <x:tableColumn id="4" name="user_request"/>
    <x:tableColumn id="5" name="planned_tool_steps"/>
    <x:tableColumn id="6" name="actual_tool_calls"/>
    <x:tableColumn id="7" name="retry_count"/>
    <x:tableColumn id="8" name="total_latency_ms"/>
    <x:tableColumn id="9" name="run_success"/>
    <x:tableColumn id="10" name="status"/>
    <x:tableColumn id="11" name="avg_call_latency_ms"/>
    <x:tableColumn id="12" name="call_success_rati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ToolCalls" displayName="SyntheticToolCalls" ref="A1:N47" headerRowCount="1" totalsRowCount="0" totalsRowShown="0">
  <x:tableColumns count="14">
    <x:tableColumn id="1" name="timestamp"/>
    <x:tableColumn id="2" name="run_id"/>
    <x:tableColumn id="3" name="call_id"/>
    <x:tableColumn id="4" name="run_type"/>
    <x:tableColumn id="5" name="step_number"/>
    <x:tableColumn id="6" name="tool_name"/>
    <x:tableColumn id="7" name="attempt"/>
    <x:tableColumn id="8" name="arguments"/>
    <x:tableColumn id="9" name="success"/>
    <x:tableColumn id="10" name="latency_ms"/>
    <x:tableColumn id="11" name="error_type"/>
    <x:tableColumn id="12" name="output_summary"/>
    <x:tableColumn id="13" name="input_tokens"/>
    <x:tableColumn id="14" name="output_toke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0e45738ce141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dc20652b6440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7b5c1e26fd34e0a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20" hidden="0" customWidth="1"/>
    <x:col min="4" max="4" width="42" hidden="0" customWidth="1"/>
    <x:col min="5" max="5" width="18" hidden="0" customWidth="1"/>
    <x:col min="6" max="6" width="18" hidden="0" customWidth="1"/>
    <x:col min="7" max="7" width="13" hidden="0" customWidth="1"/>
    <x:col min="8" max="8" width="17" hidden="0" customWidth="1"/>
    <x:col min="9" max="9" width="12" hidden="0" customWidth="1"/>
    <x:col min="10" max="10" width="12" hidden="0" customWidth="1"/>
    <x:col min="11" max="11" width="20" hidden="0" customWidth="1"/>
    <x:col min="12" max="12" width="18" hidden="0" customWidth="1"/>
  </x:cols>
  <x:sheetData>
    <x:row r="1">
      <x:c r="A1" s="7" t="str">
        <x:v>timestamp</x:v>
      </x:c>
      <x:c r="B1" s="7" t="str">
        <x:v>run_id</x:v>
      </x:c>
      <x:c r="C1" s="7" t="str">
        <x:v>run_type</x:v>
      </x:c>
      <x:c r="D1" s="7" t="str">
        <x:v>user_request</x:v>
      </x:c>
      <x:c r="E1" s="7" t="str">
        <x:v>planned_tool_steps</x:v>
      </x:c>
      <x:c r="F1" s="7" t="str">
        <x:v>actual_tool_calls</x:v>
      </x:c>
      <x:c r="G1" s="7" t="str">
        <x:v>retry_count</x:v>
      </x:c>
      <x:c r="H1" s="7" t="str">
        <x:v>total_latency_ms</x:v>
      </x:c>
      <x:c r="I1" s="7" t="str">
        <x:v>run_success</x:v>
      </x:c>
      <x:c r="J1" s="7" t="str">
        <x:v>status</x:v>
      </x:c>
      <x:c r="K1" s="7" t="str">
        <x:v>avg_call_latency_ms</x:v>
      </x:c>
      <x:c r="L1" s="7" t="str">
        <x:v>call_success_ratio</x:v>
      </x:c>
    </x:row>
    <x:row r="2">
      <x:c r="A2" s="12" t="n">
        <x:v>46244.083333333336</x:v>
      </x:c>
      <x:c r="B2" t="str">
        <x:v>run_3ddc236b9e</x:v>
      </x:c>
      <x:c r="C2" t="str">
        <x:v>inbox_followup</x:v>
      </x:c>
      <x:c r="D2" s="18" t="str">
        <x:v>Find the latest customer email and send a follow-up.</x:v>
      </x:c>
      <x:c r="E2" t="n">
        <x:v>2</x:v>
      </x:c>
      <x:c r="F2" t="n">
        <x:v>2</x:v>
      </x:c>
      <x:c r="G2" t="n">
        <x:v>0</x:v>
      </x:c>
      <x:c r="H2" t="n">
        <x:v>1796</x:v>
      </x:c>
      <x:c r="I2" t="str">
        <x:v>yes</x:v>
      </x:c>
      <x:c r="J2" t="str">
        <x:v>completed</x:v>
      </x:c>
      <x:c r="K2" s="16" t="n">
        <x:f>IF(F2=0,0,H2/F2)</x:f>
        <x:v>898</x:v>
      </x:c>
      <x:c r="L2" s="14" t="n">
        <x:f>IF(F2=0,0,COUNTIFS('Tool Calls'!$B:$B,B2,'Tool Calls'!$I:$I,"yes")/F2)</x:f>
        <x:v>1</x:v>
      </x:c>
    </x:row>
    <x:row r="3">
      <x:c r="A3" s="12" t="n">
        <x:v>46244.08541666667</x:v>
      </x:c>
      <x:c r="B3" t="str">
        <x:v>run_9635ef56fc</x:v>
      </x:c>
      <x:c r="C3" t="str">
        <x:v>inbox_followup</x:v>
      </x:c>
      <x:c r="D3" s="18" t="str">
        <x:v>Find the latest customer email and send a follow-up.</x:v>
      </x:c>
      <x:c r="E3" t="n">
        <x:v>2</x:v>
      </x:c>
      <x:c r="F3" t="n">
        <x:v>2</x:v>
      </x:c>
      <x:c r="G3" t="n">
        <x:v>0</x:v>
      </x:c>
      <x:c r="H3" t="n">
        <x:v>1720</x:v>
      </x:c>
      <x:c r="I3" t="str">
        <x:v>yes</x:v>
      </x:c>
      <x:c r="J3" t="str">
        <x:v>completed</x:v>
      </x:c>
      <x:c r="K3" s="16" t="n">
        <x:f>IF(F3=0,0,H3/F3)</x:f>
        <x:v>860</x:v>
      </x:c>
      <x:c r="L3" s="14" t="n">
        <x:f>IF(F3=0,0,COUNTIFS('Tool Calls'!$B:$B,B3,'Tool Calls'!$I:$I,"yes")/F3)</x:f>
        <x:v>1</x:v>
      </x:c>
    </x:row>
    <x:row r="4">
      <x:c r="A4" s="12" t="n">
        <x:v>46244.0875</x:v>
      </x:c>
      <x:c r="B4" t="str">
        <x:v>run_a3da81dff7</x:v>
      </x:c>
      <x:c r="C4" t="str">
        <x:v>weather_brief</x:v>
      </x:c>
      <x:c r="D4" s="18" t="str">
        <x:v>Give me a concise weather brief for today.</x:v>
      </x:c>
      <x:c r="E4" t="n">
        <x:v>1</x:v>
      </x:c>
      <x:c r="F4" t="n">
        <x:v>1</x:v>
      </x:c>
      <x:c r="G4" t="n">
        <x:v>0</x:v>
      </x:c>
      <x:c r="H4" t="n">
        <x:v>489</x:v>
      </x:c>
      <x:c r="I4" t="str">
        <x:v>yes</x:v>
      </x:c>
      <x:c r="J4" t="str">
        <x:v>completed</x:v>
      </x:c>
      <x:c r="K4" s="16" t="n">
        <x:f>IF(F4=0,0,H4/F4)</x:f>
        <x:v>489</x:v>
      </x:c>
      <x:c r="L4" s="14" t="n">
        <x:f>IF(F4=0,0,COUNTIFS('Tool Calls'!$B:$B,B4,'Tool Calls'!$I:$I,"yes")/F4)</x:f>
        <x:v>1</x:v>
      </x:c>
    </x:row>
    <x:row r="5">
      <x:c r="A5" s="12" t="n">
        <x:v>46244.089583333334</x:v>
      </x:c>
      <x:c r="B5" t="str">
        <x:v>run_039f0116df</x:v>
      </x:c>
      <x:c r="C5" t="str">
        <x:v>weather_brief</x:v>
      </x:c>
      <x:c r="D5" s="18" t="str">
        <x:v>Give me a concise weather brief for today.</x:v>
      </x:c>
      <x:c r="E5" t="n">
        <x:v>1</x:v>
      </x:c>
      <x:c r="F5" t="n">
        <x:v>1</x:v>
      </x:c>
      <x:c r="G5" t="n">
        <x:v>0</x:v>
      </x:c>
      <x:c r="H5" t="n">
        <x:v>396</x:v>
      </x:c>
      <x:c r="I5" t="str">
        <x:v>yes</x:v>
      </x:c>
      <x:c r="J5" t="str">
        <x:v>completed</x:v>
      </x:c>
      <x:c r="K5" s="16" t="n">
        <x:f>IF(F5=0,0,H5/F5)</x:f>
        <x:v>396</x:v>
      </x:c>
      <x:c r="L5" s="14" t="n">
        <x:f>IF(F5=0,0,COUNTIFS('Tool Calls'!$B:$B,B5,'Tool Calls'!$I:$I,"yes")/F5)</x:f>
        <x:v>1</x:v>
      </x:c>
    </x:row>
    <x:row r="6">
      <x:c r="A6" s="12" t="n">
        <x:v>46244.09166666667</x:v>
      </x:c>
      <x:c r="B6" t="str">
        <x:v>run_b959374ee7</x:v>
      </x:c>
      <x:c r="C6" t="str">
        <x:v>data_check</x:v>
      </x:c>
      <x:c r="D6" s="18" t="str">
        <x:v>Check the metric in the database and calculate the variance.</x:v>
      </x:c>
      <x:c r="E6" t="n">
        <x:v>2</x:v>
      </x:c>
      <x:c r="F6" t="n">
        <x:v>2</x:v>
      </x:c>
      <x:c r="G6" t="n">
        <x:v>0</x:v>
      </x:c>
      <x:c r="H6" t="n">
        <x:v>845</x:v>
      </x:c>
      <x:c r="I6" t="str">
        <x:v>yes</x:v>
      </x:c>
      <x:c r="J6" t="str">
        <x:v>completed</x:v>
      </x:c>
      <x:c r="K6" s="16" t="n">
        <x:f>IF(F6=0,0,H6/F6)</x:f>
        <x:v>422.5</x:v>
      </x:c>
      <x:c r="L6" s="14" t="n">
        <x:f>IF(F6=0,0,COUNTIFS('Tool Calls'!$B:$B,B6,'Tool Calls'!$I:$I,"yes")/F6)</x:f>
        <x:v>1</x:v>
      </x:c>
    </x:row>
    <x:row r="7">
      <x:c r="A7" s="12" t="n">
        <x:v>46244.09375</x:v>
      </x:c>
      <x:c r="B7" t="str">
        <x:v>run_4f86f3c582</x:v>
      </x:c>
      <x:c r="C7" t="str">
        <x:v>weather_brief</x:v>
      </x:c>
      <x:c r="D7" s="18" t="str">
        <x:v>Give me a concise weather brief for today.</x:v>
      </x:c>
      <x:c r="E7" t="n">
        <x:v>1</x:v>
      </x:c>
      <x:c r="F7" t="n">
        <x:v>1</x:v>
      </x:c>
      <x:c r="G7" t="n">
        <x:v>0</x:v>
      </x:c>
      <x:c r="H7" t="n">
        <x:v>555</x:v>
      </x:c>
      <x:c r="I7" t="str">
        <x:v>yes</x:v>
      </x:c>
      <x:c r="J7" t="str">
        <x:v>completed</x:v>
      </x:c>
      <x:c r="K7" s="16" t="n">
        <x:f>IF(F7=0,0,H7/F7)</x:f>
        <x:v>555</x:v>
      </x:c>
      <x:c r="L7" s="14" t="n">
        <x:f>IF(F7=0,0,COUNTIFS('Tool Calls'!$B:$B,B7,'Tool Calls'!$I:$I,"yes")/F7)</x:f>
        <x:v>1</x:v>
      </x:c>
    </x:row>
    <x:row r="8">
      <x:c r="A8" s="12" t="n">
        <x:v>46244.09583333333</x:v>
      </x:c>
      <x:c r="B8" t="str">
        <x:v>run_524c9b0044</x:v>
      </x:c>
      <x:c r="C8" t="str">
        <x:v>meeting_scheduler</x:v>
      </x:c>
      <x:c r="D8" s="18" t="str">
        <x:v>Find a free slot and schedule a meeting.</x:v>
      </x:c>
      <x:c r="E8" t="n">
        <x:v>2</x:v>
      </x:c>
      <x:c r="F8" t="n">
        <x:v>2</x:v>
      </x:c>
      <x:c r="G8" t="n">
        <x:v>0</x:v>
      </x:c>
      <x:c r="H8" t="n">
        <x:v>977</x:v>
      </x:c>
      <x:c r="I8" t="str">
        <x:v>yes</x:v>
      </x:c>
      <x:c r="J8" t="str">
        <x:v>completed</x:v>
      </x:c>
      <x:c r="K8" s="16" t="n">
        <x:f>IF(F8=0,0,H8/F8)</x:f>
        <x:v>488.5</x:v>
      </x:c>
      <x:c r="L8" s="14" t="n">
        <x:f>IF(F8=0,0,COUNTIFS('Tool Calls'!$B:$B,B8,'Tool Calls'!$I:$I,"yes")/F8)</x:f>
        <x:v>1</x:v>
      </x:c>
    </x:row>
    <x:row r="9">
      <x:c r="A9" s="12" t="n">
        <x:v>46244.097916666666</x:v>
      </x:c>
      <x:c r="B9" t="str">
        <x:v>run_2eb8a57aa4</x:v>
      </x:c>
      <x:c r="C9" t="str">
        <x:v>research_answer</x:v>
      </x:c>
      <x:c r="D9" s="18" t="str">
        <x:v>Research the topic and summarize the key points.</x:v>
      </x:c>
      <x:c r="E9" t="n">
        <x:v>2</x:v>
      </x:c>
      <x:c r="F9" t="n">
        <x:v>2</x:v>
      </x:c>
      <x:c r="G9" t="n">
        <x:v>0</x:v>
      </x:c>
      <x:c r="H9" t="n">
        <x:v>1686</x:v>
      </x:c>
      <x:c r="I9" t="str">
        <x:v>yes</x:v>
      </x:c>
      <x:c r="J9" t="str">
        <x:v>completed</x:v>
      </x:c>
      <x:c r="K9" s="16" t="n">
        <x:f>IF(F9=0,0,H9/F9)</x:f>
        <x:v>843</x:v>
      </x:c>
      <x:c r="L9" s="14" t="n">
        <x:f>IF(F9=0,0,COUNTIFS('Tool Calls'!$B:$B,B9,'Tool Calls'!$I:$I,"yes")/F9)</x:f>
        <x:v>1</x:v>
      </x:c>
    </x:row>
    <x:row r="10">
      <x:c r="A10" s="12" t="n">
        <x:v>46244.1</x:v>
      </x:c>
      <x:c r="B10" t="str">
        <x:v>run_9c81f1d47e</x:v>
      </x:c>
      <x:c r="C10" t="str">
        <x:v>inbox_followup</x:v>
      </x:c>
      <x:c r="D10" s="18" t="str">
        <x:v>Find the latest customer email and send a follow-up.</x:v>
      </x:c>
      <x:c r="E10" t="n">
        <x:v>2</x:v>
      </x:c>
      <x:c r="F10" t="n">
        <x:v>2</x:v>
      </x:c>
      <x:c r="G10" t="n">
        <x:v>0</x:v>
      </x:c>
      <x:c r="H10" t="n">
        <x:v>1604</x:v>
      </x:c>
      <x:c r="I10" t="str">
        <x:v>yes</x:v>
      </x:c>
      <x:c r="J10" t="str">
        <x:v>completed</x:v>
      </x:c>
      <x:c r="K10" s="16" t="n">
        <x:f>IF(F10=0,0,H10/F10)</x:f>
        <x:v>802</x:v>
      </x:c>
      <x:c r="L10" s="14" t="n">
        <x:f>IF(F10=0,0,COUNTIFS('Tool Calls'!$B:$B,B10,'Tool Calls'!$I:$I,"yes")/F10)</x:f>
        <x:v>1</x:v>
      </x:c>
    </x:row>
    <x:row r="11">
      <x:c r="A11" s="12" t="n">
        <x:v>46244.10208333333</x:v>
      </x:c>
      <x:c r="B11" t="str">
        <x:v>run_bbdea89780</x:v>
      </x:c>
      <x:c r="C11" t="str">
        <x:v>meeting_scheduler</x:v>
      </x:c>
      <x:c r="D11" s="18" t="str">
        <x:v>Find a free slot and schedule a meeting.</x:v>
      </x:c>
      <x:c r="E11" t="n">
        <x:v>2</x:v>
      </x:c>
      <x:c r="F11" t="n">
        <x:v>2</x:v>
      </x:c>
      <x:c r="G11" t="n">
        <x:v>0</x:v>
      </x:c>
      <x:c r="H11" t="n">
        <x:v>1057</x:v>
      </x:c>
      <x:c r="I11" t="str">
        <x:v>yes</x:v>
      </x:c>
      <x:c r="J11" t="str">
        <x:v>completed</x:v>
      </x:c>
      <x:c r="K11" s="16" t="n">
        <x:f>IF(F11=0,0,H11/F11)</x:f>
        <x:v>528.5</x:v>
      </x:c>
      <x:c r="L11" s="14" t="n">
        <x:f>IF(F11=0,0,COUNTIFS('Tool Calls'!$B:$B,B11,'Tool Calls'!$I:$I,"yes")/F11)</x:f>
        <x:v>1</x:v>
      </x:c>
    </x:row>
    <x:row r="12">
      <x:c r="A12" s="12" t="n">
        <x:v>46244.104166666664</x:v>
      </x:c>
      <x:c r="B12" t="str">
        <x:v>run_38b2db4e58</x:v>
      </x:c>
      <x:c r="C12" t="str">
        <x:v>multi_tool_agent</x:v>
      </x:c>
      <x:c r="D12" s="18" t="str">
        <x:v>Research, verify against internal data, and calculate the result.</x:v>
      </x:c>
      <x:c r="E12" t="n">
        <x:v>3</x:v>
      </x:c>
      <x:c r="F12" t="n">
        <x:v>3</x:v>
      </x:c>
      <x:c r="G12" t="n">
        <x:v>0</x:v>
      </x:c>
      <x:c r="H12" t="n">
        <x:v>1727</x:v>
      </x:c>
      <x:c r="I12" t="str">
        <x:v>yes</x:v>
      </x:c>
      <x:c r="J12" t="str">
        <x:v>completed</x:v>
      </x:c>
      <x:c r="K12" s="16" t="n">
        <x:f>IF(F12=0,0,H12/F12)</x:f>
        <x:v>575.6666666666666</x:v>
      </x:c>
      <x:c r="L12" s="14" t="n">
        <x:f>IF(F12=0,0,COUNTIFS('Tool Calls'!$B:$B,B12,'Tool Calls'!$I:$I,"yes")/F12)</x:f>
        <x:v>1</x:v>
      </x:c>
    </x:row>
    <x:row r="13">
      <x:c r="A13" s="12" t="n">
        <x:v>46244.10625</x:v>
      </x:c>
      <x:c r="B13" t="str">
        <x:v>run_8ce1b8c569</x:v>
      </x:c>
      <x:c r="C13" t="str">
        <x:v>inbox_followup</x:v>
      </x:c>
      <x:c r="D13" s="18" t="str">
        <x:v>Find the latest customer email and send a follow-up.</x:v>
      </x:c>
      <x:c r="E13" t="n">
        <x:v>2</x:v>
      </x:c>
      <x:c r="F13" t="n">
        <x:v>2</x:v>
      </x:c>
      <x:c r="G13" t="n">
        <x:v>0</x:v>
      </x:c>
      <x:c r="H13" t="n">
        <x:v>1343</x:v>
      </x:c>
      <x:c r="I13" t="str">
        <x:v>yes</x:v>
      </x:c>
      <x:c r="J13" t="str">
        <x:v>completed</x:v>
      </x:c>
      <x:c r="K13" s="16" t="n">
        <x:f>IF(F13=0,0,H13/F13)</x:f>
        <x:v>671.5</x:v>
      </x:c>
      <x:c r="L13" s="14" t="n">
        <x:f>IF(F13=0,0,COUNTIFS('Tool Calls'!$B:$B,B13,'Tool Calls'!$I:$I,"yes")/F13)</x:f>
        <x:v>1</x:v>
      </x:c>
    </x:row>
    <x:row r="14">
      <x:c r="A14" s="12" t="n">
        <x:v>46244.10833333333</x:v>
      </x:c>
      <x:c r="B14" t="str">
        <x:v>run_a4ce3214a8</x:v>
      </x:c>
      <x:c r="C14" t="str">
        <x:v>research_answer</x:v>
      </x:c>
      <x:c r="D14" s="18" t="str">
        <x:v>Research the topic and summarize the key points.</x:v>
      </x:c>
      <x:c r="E14" t="n">
        <x:v>2</x:v>
      </x:c>
      <x:c r="F14" t="n">
        <x:v>3</x:v>
      </x:c>
      <x:c r="G14" t="n">
        <x:v>1</x:v>
      </x:c>
      <x:c r="H14" t="n">
        <x:v>2853</x:v>
      </x:c>
      <x:c r="I14" t="str">
        <x:v>yes</x:v>
      </x:c>
      <x:c r="J14" t="str">
        <x:v>completed</x:v>
      </x:c>
      <x:c r="K14" s="16" t="n">
        <x:f>IF(F14=0,0,H14/F14)</x:f>
        <x:v>951</x:v>
      </x:c>
      <x:c r="L14" s="14" t="n">
        <x:f>IF(F14=0,0,COUNTIFS('Tool Calls'!$B:$B,B14,'Tool Calls'!$I:$I,"yes")/F14)</x:f>
        <x:v>0.6666666666666666</x:v>
      </x:c>
    </x:row>
    <x:row r="15">
      <x:c r="A15" s="12" t="n">
        <x:v>46244.11041666667</x:v>
      </x:c>
      <x:c r="B15" t="str">
        <x:v>run_8497baae8a</x:v>
      </x:c>
      <x:c r="C15" t="str">
        <x:v>meeting_scheduler</x:v>
      </x:c>
      <x:c r="D15" s="18" t="str">
        <x:v>Find a free slot and schedule a meeting.</x:v>
      </x:c>
      <x:c r="E15" t="n">
        <x:v>2</x:v>
      </x:c>
      <x:c r="F15" t="n">
        <x:v>2</x:v>
      </x:c>
      <x:c r="G15" t="n">
        <x:v>0</x:v>
      </x:c>
      <x:c r="H15" t="n">
        <x:v>1377</x:v>
      </x:c>
      <x:c r="I15" t="str">
        <x:v>yes</x:v>
      </x:c>
      <x:c r="J15" t="str">
        <x:v>completed</x:v>
      </x:c>
      <x:c r="K15" s="16" t="n">
        <x:f>IF(F15=0,0,H15/F15)</x:f>
        <x:v>688.5</x:v>
      </x:c>
      <x:c r="L15" s="14" t="n">
        <x:f>IF(F15=0,0,COUNTIFS('Tool Calls'!$B:$B,B15,'Tool Calls'!$I:$I,"yes")/F15)</x:f>
        <x:v>1</x:v>
      </x:c>
    </x:row>
    <x:row r="16">
      <x:c r="A16" s="12" t="n">
        <x:v>46244.1125</x:v>
      </x:c>
      <x:c r="B16" t="str">
        <x:v>run_b64213ba72</x:v>
      </x:c>
      <x:c r="C16" t="str">
        <x:v>inbox_followup</x:v>
      </x:c>
      <x:c r="D16" s="18" t="str">
        <x:v>Find the latest customer email and send a follow-up.</x:v>
      </x:c>
      <x:c r="E16" t="n">
        <x:v>2</x:v>
      </x:c>
      <x:c r="F16" t="n">
        <x:v>2</x:v>
      </x:c>
      <x:c r="G16" t="n">
        <x:v>0</x:v>
      </x:c>
      <x:c r="H16" t="n">
        <x:v>1555</x:v>
      </x:c>
      <x:c r="I16" t="str">
        <x:v>yes</x:v>
      </x:c>
      <x:c r="J16" t="str">
        <x:v>completed</x:v>
      </x:c>
      <x:c r="K16" s="16" t="n">
        <x:f>IF(F16=0,0,H16/F16)</x:f>
        <x:v>777.5</x:v>
      </x:c>
      <x:c r="L16" s="14" t="n">
        <x:f>IF(F16=0,0,COUNTIFS('Tool Calls'!$B:$B,B16,'Tool Calls'!$I:$I,"yes")/F16)</x:f>
        <x:v>1</x:v>
      </x:c>
    </x:row>
    <x:row r="17">
      <x:c r="A17" s="12" t="n">
        <x:v>46244.114583333336</x:v>
      </x:c>
      <x:c r="B17" t="str">
        <x:v>run_d891bdf9f0</x:v>
      </x:c>
      <x:c r="C17" t="str">
        <x:v>meeting_scheduler</x:v>
      </x:c>
      <x:c r="D17" s="18" t="str">
        <x:v>Find a free slot and schedule a meeting.</x:v>
      </x:c>
      <x:c r="E17" t="n">
        <x:v>2</x:v>
      </x:c>
      <x:c r="F17" t="n">
        <x:v>2</x:v>
      </x:c>
      <x:c r="G17" t="n">
        <x:v>0</x:v>
      </x:c>
      <x:c r="H17" t="n">
        <x:v>1149</x:v>
      </x:c>
      <x:c r="I17" t="str">
        <x:v>yes</x:v>
      </x:c>
      <x:c r="J17" t="str">
        <x:v>completed</x:v>
      </x:c>
      <x:c r="K17" s="16" t="n">
        <x:f>IF(F17=0,0,H17/F17)</x:f>
        <x:v>574.5</x:v>
      </x:c>
      <x:c r="L17" s="14" t="n">
        <x:f>IF(F17=0,0,COUNTIFS('Tool Calls'!$B:$B,B17,'Tool Calls'!$I:$I,"yes")/F17)</x:f>
        <x:v>1</x:v>
      </x:c>
    </x:row>
    <x:row r="18">
      <x:c r="A18" s="12" t="n">
        <x:v>46244.11666666667</x:v>
      </x:c>
      <x:c r="B18" t="str">
        <x:v>run_c64c5ef9e2</x:v>
      </x:c>
      <x:c r="C18" t="str">
        <x:v>weather_brief</x:v>
      </x:c>
      <x:c r="D18" s="18" t="str">
        <x:v>Give me a concise weather brief for today.</x:v>
      </x:c>
      <x:c r="E18" t="n">
        <x:v>1</x:v>
      </x:c>
      <x:c r="F18" t="n">
        <x:v>1</x:v>
      </x:c>
      <x:c r="G18" t="n">
        <x:v>0</x:v>
      </x:c>
      <x:c r="H18" t="n">
        <x:v>486</x:v>
      </x:c>
      <x:c r="I18" t="str">
        <x:v>yes</x:v>
      </x:c>
      <x:c r="J18" t="str">
        <x:v>completed</x:v>
      </x:c>
      <x:c r="K18" s="16" t="n">
        <x:f>IF(F18=0,0,H18/F18)</x:f>
        <x:v>486</x:v>
      </x:c>
      <x:c r="L18" s="14" t="n">
        <x:f>IF(F18=0,0,COUNTIFS('Tool Calls'!$B:$B,B18,'Tool Calls'!$I:$I,"yes")/F18)</x:f>
        <x:v>1</x:v>
      </x:c>
    </x:row>
    <x:row r="19">
      <x:c r="A19" s="12" t="n">
        <x:v>46244.11875</x:v>
      </x:c>
      <x:c r="B19" t="str">
        <x:v>run_dabfe9d323</x:v>
      </x:c>
      <x:c r="C19" t="str">
        <x:v>research_answer</x:v>
      </x:c>
      <x:c r="D19" s="18" t="str">
        <x:v>Research the topic and summarize the key points.</x:v>
      </x:c>
      <x:c r="E19" t="n">
        <x:v>2</x:v>
      </x:c>
      <x:c r="F19" t="n">
        <x:v>3</x:v>
      </x:c>
      <x:c r="G19" t="n">
        <x:v>1</x:v>
      </x:c>
      <x:c r="H19" t="n">
        <x:v>2667</x:v>
      </x:c>
      <x:c r="I19" t="str">
        <x:v>yes</x:v>
      </x:c>
      <x:c r="J19" t="str">
        <x:v>completed</x:v>
      </x:c>
      <x:c r="K19" s="16" t="n">
        <x:f>IF(F19=0,0,H19/F19)</x:f>
        <x:v>889</x:v>
      </x:c>
      <x:c r="L19" s="14" t="n">
        <x:f>IF(F19=0,0,COUNTIFS('Tool Calls'!$B:$B,B19,'Tool Calls'!$I:$I,"yes")/F19)</x:f>
        <x:v>0.6666666666666666</x:v>
      </x:c>
    </x:row>
    <x:row r="20">
      <x:c r="A20" s="12" t="n">
        <x:v>46244.120833333334</x:v>
      </x:c>
      <x:c r="B20" t="str">
        <x:v>run_16cec5ef9b</x:v>
      </x:c>
      <x:c r="C20" t="str">
        <x:v>multi_tool_agent</x:v>
      </x:c>
      <x:c r="D20" s="18" t="str">
        <x:v>Research, verify against internal data, and calculate the result.</x:v>
      </x:c>
      <x:c r="E20" t="n">
        <x:v>3</x:v>
      </x:c>
      <x:c r="F20" t="n">
        <x:v>3</x:v>
      </x:c>
      <x:c r="G20" t="n">
        <x:v>0</x:v>
      </x:c>
      <x:c r="H20" t="n">
        <x:v>1985</x:v>
      </x:c>
      <x:c r="I20" t="str">
        <x:v>yes</x:v>
      </x:c>
      <x:c r="J20" t="str">
        <x:v>completed</x:v>
      </x:c>
      <x:c r="K20" s="16" t="n">
        <x:f>IF(F20=0,0,H20/F20)</x:f>
        <x:v>661.6666666666666</x:v>
      </x:c>
      <x:c r="L20" s="14" t="n">
        <x:f>IF(F20=0,0,COUNTIFS('Tool Calls'!$B:$B,B20,'Tool Calls'!$I:$I,"yes")/F20)</x:f>
        <x:v>1</x:v>
      </x:c>
    </x:row>
    <x:row r="21">
      <x:c r="A21" s="12" t="n">
        <x:v>46244.12291666667</x:v>
      </x:c>
      <x:c r="B21" t="str">
        <x:v>run_e925515d2b</x:v>
      </x:c>
      <x:c r="C21" t="str">
        <x:v>research_answer</x:v>
      </x:c>
      <x:c r="D21" s="18" t="str">
        <x:v>Research the topic and summarize the key points.</x:v>
      </x:c>
      <x:c r="E21" t="n">
        <x:v>2</x:v>
      </x:c>
      <x:c r="F21" t="n">
        <x:v>2</x:v>
      </x:c>
      <x:c r="G21" t="n">
        <x:v>0</x:v>
      </x:c>
      <x:c r="H21" t="n">
        <x:v>1435</x:v>
      </x:c>
      <x:c r="I21" t="str">
        <x:v>yes</x:v>
      </x:c>
      <x:c r="J21" t="str">
        <x:v>completed</x:v>
      </x:c>
      <x:c r="K21" s="16" t="n">
        <x:f>IF(F21=0,0,H21/F21)</x:f>
        <x:v>717.5</x:v>
      </x:c>
      <x:c r="L21" s="14" t="n">
        <x:f>IF(F21=0,0,COUNTIFS('Tool Calls'!$B:$B,B21,'Tool Calls'!$I:$I,"yes")/F21)</x:f>
        <x:v>1</x:v>
      </x:c>
    </x:row>
    <x:row r="22">
      <x:c r="A22" s="12" t="n">
        <x:v>46244.125</x:v>
      </x:c>
      <x:c r="B22" t="str">
        <x:v>run_d3f82c0640</x:v>
      </x:c>
      <x:c r="C22" t="str">
        <x:v>inbox_followup</x:v>
      </x:c>
      <x:c r="D22" s="18" t="str">
        <x:v>Find the latest customer email and send a follow-up.</x:v>
      </x:c>
      <x:c r="E22" t="n">
        <x:v>2</x:v>
      </x:c>
      <x:c r="F22" t="n">
        <x:v>2</x:v>
      </x:c>
      <x:c r="G22" t="n">
        <x:v>0</x:v>
      </x:c>
      <x:c r="H22" t="n">
        <x:v>1906</x:v>
      </x:c>
      <x:c r="I22" t="str">
        <x:v>yes</x:v>
      </x:c>
      <x:c r="J22" t="str">
        <x:v>completed</x:v>
      </x:c>
      <x:c r="K22" s="16" t="n">
        <x:f>IF(F22=0,0,H22/F22)</x:f>
        <x:v>953</x:v>
      </x:c>
      <x:c r="L22" s="14" t="n">
        <x:f>IF(F22=0,0,COUNTIFS('Tool Calls'!$B:$B,B22,'Tool Calls'!$I:$I,"yes")/F22)</x:f>
        <x:v>1</x:v>
      </x:c>
    </x:row>
    <x:row r="23">
      <x:c r="A23" s="12" t="n">
        <x:v>46244.12708333333</x:v>
      </x:c>
      <x:c r="B23" t="str">
        <x:v>run_4262225207</x:v>
      </x:c>
      <x:c r="C23" t="str">
        <x:v>inbox_followup</x:v>
      </x:c>
      <x:c r="D23" s="18" t="str">
        <x:v>Find the latest customer email and send a follow-up.</x:v>
      </x:c>
      <x:c r="E23" t="n">
        <x:v>2</x:v>
      </x:c>
      <x:c r="F23" t="n">
        <x:v>2</x:v>
      </x:c>
      <x:c r="G23" t="n">
        <x:v>0</x:v>
      </x:c>
      <x:c r="H23" t="n">
        <x:v>1504</x:v>
      </x:c>
      <x:c r="I23" t="str">
        <x:v>yes</x:v>
      </x:c>
      <x:c r="J23" t="str">
        <x:v>completed</x:v>
      </x:c>
      <x:c r="K23" s="16" t="n">
        <x:f>IF(F23=0,0,H23/F23)</x:f>
        <x:v>752</x:v>
      </x:c>
      <x:c r="L23" s="14" t="n">
        <x:f>IF(F23=0,0,COUNTIFS('Tool Calls'!$B:$B,B23,'Tool Calls'!$I:$I,"yes")/F23)</x:f>
        <x:v>1</x:v>
      </x:c>
    </x:row>
    <x:row r="24">
      <x:c r="A24" s="12" t="n">
        <x:v>46244.129166666666</x:v>
      </x:c>
      <x:c r="B24" t="str">
        <x:v>run_e6e8434765</x:v>
      </x:c>
      <x:c r="C24" t="str">
        <x:v>weather_brief</x:v>
      </x:c>
      <x:c r="D24" s="18" t="str">
        <x:v>Give me a concise weather brief for today.</x:v>
      </x:c>
      <x:c r="E24" t="n">
        <x:v>1</x:v>
      </x:c>
      <x:c r="F24" t="n">
        <x:v>1</x:v>
      </x:c>
      <x:c r="G24" t="n">
        <x:v>0</x:v>
      </x:c>
      <x:c r="H24" t="n">
        <x:v>501</x:v>
      </x:c>
      <x:c r="I24" t="str">
        <x:v>yes</x:v>
      </x:c>
      <x:c r="J24" t="str">
        <x:v>completed</x:v>
      </x:c>
      <x:c r="K24" s="16" t="n">
        <x:f>IF(F24=0,0,H24/F24)</x:f>
        <x:v>501</x:v>
      </x:c>
      <x:c r="L24" s="14" t="n">
        <x:f>IF(F24=0,0,COUNTIFS('Tool Calls'!$B:$B,B24,'Tool Calls'!$I:$I,"yes")/F24)</x:f>
        <x:v>1</x:v>
      </x:c>
    </x:row>
    <x:row r="25">
      <x:c r="A25" s="12" t="n">
        <x:v>46244.13125</x:v>
      </x:c>
      <x:c r="B25" t="str">
        <x:v>run_716e76779e</x:v>
      </x:c>
      <x:c r="C25" t="str">
        <x:v>weather_brief</x:v>
      </x:c>
      <x:c r="D25" s="18" t="str">
        <x:v>Give me a concise weather brief for today.</x:v>
      </x:c>
      <x:c r="E25" t="n">
        <x:v>1</x:v>
      </x:c>
      <x:c r="F25" t="n">
        <x:v>1</x:v>
      </x:c>
      <x:c r="G25" t="n">
        <x:v>0</x:v>
      </x:c>
      <x:c r="H25" t="n">
        <x:v>486</x:v>
      </x:c>
      <x:c r="I25" t="str">
        <x:v>yes</x:v>
      </x:c>
      <x:c r="J25" t="str">
        <x:v>completed</x:v>
      </x:c>
      <x:c r="K25" s="16" t="n">
        <x:f>IF(F25=0,0,H25/F25)</x:f>
        <x:v>486</x:v>
      </x:c>
      <x:c r="L25" s="14" t="n">
        <x:f>IF(F25=0,0,COUNTIFS('Tool Calls'!$B:$B,B25,'Tool Calls'!$I:$I,"yes")/F25)</x:f>
        <x:v>1</x:v>
      </x:c>
    </x:row>
  </x:sheetData>
  <x:conditionalFormatting sqref="J2:J25">
    <x:cfRule type="expression" dxfId="0" priority="1">
      <x:formula>J2="failed"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0e45738ce141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20" hidden="0" customWidth="1"/>
    <x:col min="5" max="5" width="13" hidden="0" customWidth="1"/>
    <x:col min="6" max="6" width="20" hidden="0" customWidth="1"/>
    <x:col min="7" max="7" width="10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38" hidden="0" customWidth="1"/>
    <x:col min="13" max="13" width="13" hidden="0" customWidth="1"/>
    <x:col min="14" max="14" width="14" hidden="0" customWidth="1"/>
  </x:cols>
  <x:sheetData>
    <x:row r="1">
      <x:c r="A1" s="7" t="str">
        <x:v>timestamp</x:v>
      </x:c>
      <x:c r="B1" s="7" t="str">
        <x:v>run_id</x:v>
      </x:c>
      <x:c r="C1" s="7" t="str">
        <x:v>call_id</x:v>
      </x:c>
      <x:c r="D1" s="7" t="str">
        <x:v>run_type</x:v>
      </x:c>
      <x:c r="E1" s="7" t="str">
        <x:v>step_number</x:v>
      </x:c>
      <x:c r="F1" s="7" t="str">
        <x:v>tool_name</x:v>
      </x:c>
      <x:c r="G1" s="7" t="str">
        <x:v>attempt</x:v>
      </x:c>
      <x:c r="H1" s="7" t="str">
        <x:v>arguments</x:v>
      </x:c>
      <x:c r="I1" s="7" t="str">
        <x:v>success</x:v>
      </x:c>
      <x:c r="J1" s="7" t="str">
        <x:v>latency_ms</x:v>
      </x:c>
      <x:c r="K1" s="7" t="str">
        <x:v>error_type</x:v>
      </x:c>
      <x:c r="L1" s="7" t="str">
        <x:v>output_summary</x:v>
      </x:c>
      <x:c r="M1" s="7" t="str">
        <x:v>input_tokens</x:v>
      </x:c>
      <x:c r="N1" s="7" t="str">
        <x:v>output_tokens</x:v>
      </x:c>
    </x:row>
    <x:row r="2">
      <x:c r="A2" s="12" t="n">
        <x:v>46244.083333333336</x:v>
      </x:c>
      <x:c r="B2" t="str">
        <x:v>run_3ddc236b9e</x:v>
      </x:c>
      <x:c r="C2" t="str">
        <x:v>call_5f36817235</x:v>
      </x:c>
      <x:c r="D2" t="str">
        <x:v>inbox_followup</x:v>
      </x:c>
      <x:c r="E2" t="n">
        <x:v>1</x:v>
      </x:c>
      <x:c r="F2" t="str">
        <x:v>email.search</x:v>
      </x:c>
      <x:c r="G2" t="n">
        <x:v>1</x:v>
      </x:c>
      <x:c r="H2" s="18" t="str">
        <x:v>{"query":"latest customer follow-up"}</x:v>
      </x:c>
      <x:c r="I2" t="str">
        <x:v>yes</x:v>
      </x:c>
      <x:c r="J2" t="n">
        <x:v>878</x:v>
      </x:c>
      <x:c r="K2" t="str"/>
      <x:c r="L2" s="18" t="str">
        <x:v>Returned 4 matching synthetic emails.</x:v>
      </x:c>
      <x:c r="M2" t="n">
        <x:v>148</x:v>
      </x:c>
      <x:c r="N2" t="n">
        <x:v>58</x:v>
      </x:c>
    </x:row>
    <x:row r="3">
      <x:c r="A3" s="12" t="n">
        <x:v>46244.08336805556</x:v>
      </x:c>
      <x:c r="B3" t="str">
        <x:v>run_3ddc236b9e</x:v>
      </x:c>
      <x:c r="C3" t="str">
        <x:v>call_2e6492b1d8</x:v>
      </x:c>
      <x:c r="D3" t="str">
        <x:v>inbox_followup</x:v>
      </x:c>
      <x:c r="E3" t="n">
        <x:v>2</x:v>
      </x:c>
      <x:c r="F3" t="str">
        <x:v>email.send</x:v>
      </x:c>
      <x:c r="G3" t="n">
        <x:v>1</x:v>
      </x:c>
      <x:c r="H3" s="18" t="str">
        <x:v>{"recipient":"customer@example.com","draft":"follow-up"}</x:v>
      </x:c>
      <x:c r="I3" t="str">
        <x:v>yes</x:v>
      </x:c>
      <x:c r="J3" t="n">
        <x:v>918</x:v>
      </x:c>
      <x:c r="K3" t="str"/>
      <x:c r="L3" s="18" t="str">
        <x:v>Synthetic email send accepted.</x:v>
      </x:c>
      <x:c r="M3" t="n">
        <x:v>73</x:v>
      </x:c>
      <x:c r="N3" t="n">
        <x:v>34</x:v>
      </x:c>
    </x:row>
    <x:row r="4">
      <x:c r="A4" s="12" t="n">
        <x:v>46244.08541666667</x:v>
      </x:c>
      <x:c r="B4" t="str">
        <x:v>run_9635ef56fc</x:v>
      </x:c>
      <x:c r="C4" t="str">
        <x:v>call_cf96ffb0b8</x:v>
      </x:c>
      <x:c r="D4" t="str">
        <x:v>inbox_followup</x:v>
      </x:c>
      <x:c r="E4" t="n">
        <x:v>1</x:v>
      </x:c>
      <x:c r="F4" t="str">
        <x:v>email.search</x:v>
      </x:c>
      <x:c r="G4" t="n">
        <x:v>1</x:v>
      </x:c>
      <x:c r="H4" s="18" t="str">
        <x:v>{"query":"latest customer follow-up"}</x:v>
      </x:c>
      <x:c r="I4" t="str">
        <x:v>yes</x:v>
      </x:c>
      <x:c r="J4" t="n">
        <x:v>730</x:v>
      </x:c>
      <x:c r="K4" t="str"/>
      <x:c r="L4" s="18" t="str">
        <x:v>Returned 4 matching synthetic emails.</x:v>
      </x:c>
      <x:c r="M4" t="n">
        <x:v>46</x:v>
      </x:c>
      <x:c r="N4" t="n">
        <x:v>23</x:v>
      </x:c>
    </x:row>
    <x:row r="5">
      <x:c r="A5" s="12" t="n">
        <x:v>46244.08545138889</x:v>
      </x:c>
      <x:c r="B5" t="str">
        <x:v>run_9635ef56fc</x:v>
      </x:c>
      <x:c r="C5" t="str">
        <x:v>call_268afabf83</x:v>
      </x:c>
      <x:c r="D5" t="str">
        <x:v>inbox_followup</x:v>
      </x:c>
      <x:c r="E5" t="n">
        <x:v>2</x:v>
      </x:c>
      <x:c r="F5" t="str">
        <x:v>email.send</x:v>
      </x:c>
      <x:c r="G5" t="n">
        <x:v>1</x:v>
      </x:c>
      <x:c r="H5" s="18" t="str">
        <x:v>{"recipient":"customer@example.com","draft":"follow-up"}</x:v>
      </x:c>
      <x:c r="I5" t="str">
        <x:v>yes</x:v>
      </x:c>
      <x:c r="J5" t="n">
        <x:v>990</x:v>
      </x:c>
      <x:c r="K5" t="str"/>
      <x:c r="L5" s="18" t="str">
        <x:v>Synthetic email send accepted.</x:v>
      </x:c>
      <x:c r="M5" t="n">
        <x:v>167</x:v>
      </x:c>
      <x:c r="N5" t="n">
        <x:v>63</x:v>
      </x:c>
    </x:row>
    <x:row r="6">
      <x:c r="A6" s="12" t="n">
        <x:v>46244.0875</x:v>
      </x:c>
      <x:c r="B6" t="str">
        <x:v>run_a3da81dff7</x:v>
      </x:c>
      <x:c r="C6" t="str">
        <x:v>call_679547a07f</x:v>
      </x:c>
      <x:c r="D6" t="str">
        <x:v>weather_brief</x:v>
      </x:c>
      <x:c r="E6" t="n">
        <x:v>1</x:v>
      </x:c>
      <x:c r="F6" t="str">
        <x:v>weather.lookup</x:v>
      </x:c>
      <x:c r="G6" t="n">
        <x:v>1</x:v>
      </x:c>
      <x:c r="H6" s="18" t="str">
        <x:v>{"location":"Valletta"}</x:v>
      </x:c>
      <x:c r="I6" t="str">
        <x:v>yes</x:v>
      </x:c>
      <x:c r="J6" t="n">
        <x:v>489</x:v>
      </x:c>
      <x:c r="K6" t="str"/>
      <x:c r="L6" s="18" t="str">
        <x:v>Returned synthetic temperature and forecast.</x:v>
      </x:c>
      <x:c r="M6" t="n">
        <x:v>54</x:v>
      </x:c>
      <x:c r="N6" t="n">
        <x:v>36</x:v>
      </x:c>
    </x:row>
    <x:row r="7">
      <x:c r="A7" s="12" t="n">
        <x:v>46244.089583333334</x:v>
      </x:c>
      <x:c r="B7" t="str">
        <x:v>run_039f0116df</x:v>
      </x:c>
      <x:c r="C7" t="str">
        <x:v>call_95eb2c6235</x:v>
      </x:c>
      <x:c r="D7" t="str">
        <x:v>weather_brief</x:v>
      </x:c>
      <x:c r="E7" t="n">
        <x:v>1</x:v>
      </x:c>
      <x:c r="F7" t="str">
        <x:v>weather.lookup</x:v>
      </x:c>
      <x:c r="G7" t="n">
        <x:v>1</x:v>
      </x:c>
      <x:c r="H7" s="18" t="str">
        <x:v>{"location":"Valletta"}</x:v>
      </x:c>
      <x:c r="I7" t="str">
        <x:v>yes</x:v>
      </x:c>
      <x:c r="J7" t="n">
        <x:v>396</x:v>
      </x:c>
      <x:c r="K7" t="str"/>
      <x:c r="L7" s="18" t="str">
        <x:v>Returned synthetic temperature and forecast.</x:v>
      </x:c>
      <x:c r="M7" t="n">
        <x:v>208</x:v>
      </x:c>
      <x:c r="N7" t="n">
        <x:v>32</x:v>
      </x:c>
    </x:row>
    <x:row r="8">
      <x:c r="A8" s="12" t="n">
        <x:v>46244.09166666667</x:v>
      </x:c>
      <x:c r="B8" t="str">
        <x:v>run_b959374ee7</x:v>
      </x:c>
      <x:c r="C8" t="str">
        <x:v>call_d6d36fa1a3</x:v>
      </x:c>
      <x:c r="D8" t="str">
        <x:v>data_check</x:v>
      </x:c>
      <x:c r="E8" t="n">
        <x:v>1</x:v>
      </x:c>
      <x:c r="F8" t="str">
        <x:v>database.query</x:v>
      </x:c>
      <x:c r="G8" t="n">
        <x:v>1</x:v>
      </x:c>
      <x:c r="H8" s="18" t="str">
        <x:v>{"query":"SELECT metric FROM synthetic_table"}</x:v>
      </x:c>
      <x:c r="I8" t="str">
        <x:v>yes</x:v>
      </x:c>
      <x:c r="J8" t="n">
        <x:v>759</x:v>
      </x:c>
      <x:c r="K8" t="str"/>
      <x:c r="L8" s="18" t="str">
        <x:v>Returned 12 synthetic rows.</x:v>
      </x:c>
      <x:c r="M8" t="n">
        <x:v>134</x:v>
      </x:c>
      <x:c r="N8" t="n">
        <x:v>83</x:v>
      </x:c>
    </x:row>
    <x:row r="9">
      <x:c r="A9" s="12" t="n">
        <x:v>46244.09170138889</x:v>
      </x:c>
      <x:c r="B9" t="str">
        <x:v>run_b959374ee7</x:v>
      </x:c>
      <x:c r="C9" t="str">
        <x:v>call_9d4219c5a0</x:v>
      </x:c>
      <x:c r="D9" t="str">
        <x:v>data_check</x:v>
      </x:c>
      <x:c r="E9" t="n">
        <x:v>2</x:v>
      </x:c>
      <x:c r="F9" t="str">
        <x:v>calculator</x:v>
      </x:c>
      <x:c r="G9" t="n">
        <x:v>1</x:v>
      </x:c>
      <x:c r="H9" s="18" t="str">
        <x:v>{"expression":"(actual-target)/target"}</x:v>
      </x:c>
      <x:c r="I9" t="str">
        <x:v>yes</x:v>
      </x:c>
      <x:c r="J9" t="n">
        <x:v>86</x:v>
      </x:c>
      <x:c r="K9" t="str"/>
      <x:c r="L9" s="18" t="str">
        <x:v>Returned numeric result.</x:v>
      </x:c>
      <x:c r="M9" t="n">
        <x:v>120</x:v>
      </x:c>
      <x:c r="N9" t="n">
        <x:v>83</x:v>
      </x:c>
    </x:row>
    <x:row r="10">
      <x:c r="A10" s="12" t="n">
        <x:v>46244.09375</x:v>
      </x:c>
      <x:c r="B10" t="str">
        <x:v>run_4f86f3c582</x:v>
      </x:c>
      <x:c r="C10" t="str">
        <x:v>call_8d8bbdfc7b</x:v>
      </x:c>
      <x:c r="D10" t="str">
        <x:v>weather_brief</x:v>
      </x:c>
      <x:c r="E10" t="n">
        <x:v>1</x:v>
      </x:c>
      <x:c r="F10" t="str">
        <x:v>weather.lookup</x:v>
      </x:c>
      <x:c r="G10" t="n">
        <x:v>1</x:v>
      </x:c>
      <x:c r="H10" s="18" t="str">
        <x:v>{"location":"Valletta"}</x:v>
      </x:c>
      <x:c r="I10" t="str">
        <x:v>yes</x:v>
      </x:c>
      <x:c r="J10" t="n">
        <x:v>555</x:v>
      </x:c>
      <x:c r="K10" t="str"/>
      <x:c r="L10" s="18" t="str">
        <x:v>Returned synthetic temperature and forecast.</x:v>
      </x:c>
      <x:c r="M10" t="n">
        <x:v>154</x:v>
      </x:c>
      <x:c r="N10" t="n">
        <x:v>30</x:v>
      </x:c>
    </x:row>
    <x:row r="11">
      <x:c r="A11" s="12" t="n">
        <x:v>46244.09583333333</x:v>
      </x:c>
      <x:c r="B11" t="str">
        <x:v>run_524c9b0044</x:v>
      </x:c>
      <x:c r="C11" t="str">
        <x:v>call_0dc8af0f18</x:v>
      </x:c>
      <x:c r="D11" t="str">
        <x:v>meeting_scheduler</x:v>
      </x:c>
      <x:c r="E11" t="n">
        <x:v>1</x:v>
      </x:c>
      <x:c r="F11" t="str">
        <x:v>calendar.read</x:v>
      </x:c>
      <x:c r="G11" t="n">
        <x:v>1</x:v>
      </x:c>
      <x:c r="H11" s="18" t="str">
        <x:v>{"date":"2026-08-10"}</x:v>
      </x:c>
      <x:c r="I11" t="str">
        <x:v>yes</x:v>
      </x:c>
      <x:c r="J11" t="n">
        <x:v>515</x:v>
      </x:c>
      <x:c r="K11" t="str"/>
      <x:c r="L11" s="18" t="str">
        <x:v>Returned 3 available time slots.</x:v>
      </x:c>
      <x:c r="M11" t="n">
        <x:v>176</x:v>
      </x:c>
      <x:c r="N11" t="n">
        <x:v>51</x:v>
      </x:c>
    </x:row>
    <x:row r="12">
      <x:c r="A12" s="12" t="n">
        <x:v>46244.095868055556</x:v>
      </x:c>
      <x:c r="B12" t="str">
        <x:v>run_524c9b0044</x:v>
      </x:c>
      <x:c r="C12" t="str">
        <x:v>call_661acfbcdb</x:v>
      </x:c>
      <x:c r="D12" t="str">
        <x:v>meeting_scheduler</x:v>
      </x:c>
      <x:c r="E12" t="n">
        <x:v>2</x:v>
      </x:c>
      <x:c r="F12" t="str">
        <x:v>calendar.create</x:v>
      </x:c>
      <x:c r="G12" t="n">
        <x:v>1</x:v>
      </x:c>
      <x:c r="H12" s="18" t="str">
        <x:v>{"title":"Project sync","duration_min":30}</x:v>
      </x:c>
      <x:c r="I12" t="str">
        <x:v>yes</x:v>
      </x:c>
      <x:c r="J12" t="n">
        <x:v>462</x:v>
      </x:c>
      <x:c r="K12" t="str"/>
      <x:c r="L12" s="18" t="str">
        <x:v>Created synthetic calendar event.</x:v>
      </x:c>
      <x:c r="M12" t="n">
        <x:v>61</x:v>
      </x:c>
      <x:c r="N12" t="n">
        <x:v>22</x:v>
      </x:c>
    </x:row>
    <x:row r="13">
      <x:c r="A13" s="12" t="n">
        <x:v>46244.097916666666</x:v>
      </x:c>
      <x:c r="B13" t="str">
        <x:v>run_2eb8a57aa4</x:v>
      </x:c>
      <x:c r="C13" t="str">
        <x:v>call_3afd6ce23c</x:v>
      </x:c>
      <x:c r="D13" t="str">
        <x:v>research_answer</x:v>
      </x:c>
      <x:c r="E13" t="n">
        <x:v>1</x:v>
      </x:c>
      <x:c r="F13" t="str">
        <x:v>web.search</x:v>
      </x:c>
      <x:c r="G13" t="n">
        <x:v>1</x:v>
      </x:c>
      <x:c r="H13" s="18" t="str">
        <x:v>{"query":"synthetic research topic"}</x:v>
      </x:c>
      <x:c r="I13" t="str">
        <x:v>yes</x:v>
      </x:c>
      <x:c r="J13" t="n">
        <x:v>867</x:v>
      </x:c>
      <x:c r="K13" t="str"/>
      <x:c r="L13" s="18" t="str">
        <x:v>Returned 5 synthetic search results.</x:v>
      </x:c>
      <x:c r="M13" t="n">
        <x:v>110</x:v>
      </x:c>
      <x:c r="N13" t="n">
        <x:v>83</x:v>
      </x:c>
    </x:row>
    <x:row r="14">
      <x:c r="A14" s="12" t="n">
        <x:v>46244.09795138889</x:v>
      </x:c>
      <x:c r="B14" t="str">
        <x:v>run_2eb8a57aa4</x:v>
      </x:c>
      <x:c r="C14" t="str">
        <x:v>call_409474da85</x:v>
      </x:c>
      <x:c r="D14" t="str">
        <x:v>research_answer</x:v>
      </x:c>
      <x:c r="E14" t="n">
        <x:v>2</x:v>
      </x:c>
      <x:c r="F14" t="str">
        <x:v>web.search</x:v>
      </x:c>
      <x:c r="G14" t="n">
        <x:v>1</x:v>
      </x:c>
      <x:c r="H14" s="18" t="str">
        <x:v>{"query":"synthetic research topic"}</x:v>
      </x:c>
      <x:c r="I14" t="str">
        <x:v>yes</x:v>
      </x:c>
      <x:c r="J14" t="n">
        <x:v>819</x:v>
      </x:c>
      <x:c r="K14" t="str"/>
      <x:c r="L14" s="18" t="str">
        <x:v>Returned 5 synthetic search results.</x:v>
      </x:c>
      <x:c r="M14" t="n">
        <x:v>113</x:v>
      </x:c>
      <x:c r="N14" t="n">
        <x:v>79</x:v>
      </x:c>
    </x:row>
    <x:row r="15">
      <x:c r="A15" s="12" t="n">
        <x:v>46244.1</x:v>
      </x:c>
      <x:c r="B15" t="str">
        <x:v>run_9c81f1d47e</x:v>
      </x:c>
      <x:c r="C15" t="str">
        <x:v>call_8cfde5b027</x:v>
      </x:c>
      <x:c r="D15" t="str">
        <x:v>inbox_followup</x:v>
      </x:c>
      <x:c r="E15" t="n">
        <x:v>1</x:v>
      </x:c>
      <x:c r="F15" t="str">
        <x:v>email.search</x:v>
      </x:c>
      <x:c r="G15" t="n">
        <x:v>1</x:v>
      </x:c>
      <x:c r="H15" s="18" t="str">
        <x:v>{"query":"latest customer follow-up"}</x:v>
      </x:c>
      <x:c r="I15" t="str">
        <x:v>yes</x:v>
      </x:c>
      <x:c r="J15" t="n">
        <x:v>660</x:v>
      </x:c>
      <x:c r="K15" t="str"/>
      <x:c r="L15" s="18" t="str">
        <x:v>Returned 4 matching synthetic emails.</x:v>
      </x:c>
      <x:c r="M15" t="n">
        <x:v>156</x:v>
      </x:c>
      <x:c r="N15" t="n">
        <x:v>80</x:v>
      </x:c>
    </x:row>
    <x:row r="16">
      <x:c r="A16" s="12" t="n">
        <x:v>46244.10003472222</x:v>
      </x:c>
      <x:c r="B16" t="str">
        <x:v>run_9c81f1d47e</x:v>
      </x:c>
      <x:c r="C16" t="str">
        <x:v>call_c13442ba88</x:v>
      </x:c>
      <x:c r="D16" t="str">
        <x:v>inbox_followup</x:v>
      </x:c>
      <x:c r="E16" t="n">
        <x:v>2</x:v>
      </x:c>
      <x:c r="F16" t="str">
        <x:v>email.send</x:v>
      </x:c>
      <x:c r="G16" t="n">
        <x:v>1</x:v>
      </x:c>
      <x:c r="H16" s="18" t="str">
        <x:v>{"recipient":"customer@example.com","draft":"follow-up"}</x:v>
      </x:c>
      <x:c r="I16" t="str">
        <x:v>yes</x:v>
      </x:c>
      <x:c r="J16" t="n">
        <x:v>944</x:v>
      </x:c>
      <x:c r="K16" t="str"/>
      <x:c r="L16" s="18" t="str">
        <x:v>Synthetic email send accepted.</x:v>
      </x:c>
      <x:c r="M16" t="n">
        <x:v>70</x:v>
      </x:c>
      <x:c r="N16" t="n">
        <x:v>73</x:v>
      </x:c>
    </x:row>
    <x:row r="17">
      <x:c r="A17" s="12" t="n">
        <x:v>46244.10208333333</x:v>
      </x:c>
      <x:c r="B17" t="str">
        <x:v>run_bbdea89780</x:v>
      </x:c>
      <x:c r="C17" t="str">
        <x:v>call_af616a91c2</x:v>
      </x:c>
      <x:c r="D17" t="str">
        <x:v>meeting_scheduler</x:v>
      </x:c>
      <x:c r="E17" t="n">
        <x:v>1</x:v>
      </x:c>
      <x:c r="F17" t="str">
        <x:v>calendar.read</x:v>
      </x:c>
      <x:c r="G17" t="n">
        <x:v>1</x:v>
      </x:c>
      <x:c r="H17" s="18" t="str">
        <x:v>{"date":"2026-08-10"}</x:v>
      </x:c>
      <x:c r="I17" t="str">
        <x:v>yes</x:v>
      </x:c>
      <x:c r="J17" t="n">
        <x:v>523</x:v>
      </x:c>
      <x:c r="K17" t="str"/>
      <x:c r="L17" s="18" t="str">
        <x:v>Returned 3 available time slots.</x:v>
      </x:c>
      <x:c r="M17" t="n">
        <x:v>76</x:v>
      </x:c>
      <x:c r="N17" t="n">
        <x:v>85</x:v>
      </x:c>
    </x:row>
    <x:row r="18">
      <x:c r="A18" s="12" t="n">
        <x:v>46244.102118055554</x:v>
      </x:c>
      <x:c r="B18" t="str">
        <x:v>run_bbdea89780</x:v>
      </x:c>
      <x:c r="C18" t="str">
        <x:v>call_aaa17aa90f</x:v>
      </x:c>
      <x:c r="D18" t="str">
        <x:v>meeting_scheduler</x:v>
      </x:c>
      <x:c r="E18" t="n">
        <x:v>2</x:v>
      </x:c>
      <x:c r="F18" t="str">
        <x:v>calendar.create</x:v>
      </x:c>
      <x:c r="G18" t="n">
        <x:v>1</x:v>
      </x:c>
      <x:c r="H18" s="18" t="str">
        <x:v>{"title":"Project sync","duration_min":30}</x:v>
      </x:c>
      <x:c r="I18" t="str">
        <x:v>yes</x:v>
      </x:c>
      <x:c r="J18" t="n">
        <x:v>534</x:v>
      </x:c>
      <x:c r="K18" t="str"/>
      <x:c r="L18" s="18" t="str">
        <x:v>Created synthetic calendar event.</x:v>
      </x:c>
      <x:c r="M18" t="n">
        <x:v>48</x:v>
      </x:c>
      <x:c r="N18" t="n">
        <x:v>17</x:v>
      </x:c>
    </x:row>
    <x:row r="19">
      <x:c r="A19" s="12" t="n">
        <x:v>46244.104166666664</x:v>
      </x:c>
      <x:c r="B19" t="str">
        <x:v>run_38b2db4e58</x:v>
      </x:c>
      <x:c r="C19" t="str">
        <x:v>call_3b29d596d2</x:v>
      </x:c>
      <x:c r="D19" t="str">
        <x:v>multi_tool_agent</x:v>
      </x:c>
      <x:c r="E19" t="n">
        <x:v>1</x:v>
      </x:c>
      <x:c r="F19" t="str">
        <x:v>web.search</x:v>
      </x:c>
      <x:c r="G19" t="n">
        <x:v>1</x:v>
      </x:c>
      <x:c r="H19" s="18" t="str">
        <x:v>{"query":"synthetic research topic"}</x:v>
      </x:c>
      <x:c r="I19" t="str">
        <x:v>yes</x:v>
      </x:c>
      <x:c r="J19" t="n">
        <x:v>1045</x:v>
      </x:c>
      <x:c r="K19" t="str"/>
      <x:c r="L19" s="18" t="str">
        <x:v>Returned 5 synthetic search results.</x:v>
      </x:c>
      <x:c r="M19" t="n">
        <x:v>45</x:v>
      </x:c>
      <x:c r="N19" t="n">
        <x:v>30</x:v>
      </x:c>
    </x:row>
    <x:row r="20">
      <x:c r="A20" s="12" t="n">
        <x:v>46244.10420138889</x:v>
      </x:c>
      <x:c r="B20" t="str">
        <x:v>run_38b2db4e58</x:v>
      </x:c>
      <x:c r="C20" t="str">
        <x:v>call_284a913322</x:v>
      </x:c>
      <x:c r="D20" t="str">
        <x:v>multi_tool_agent</x:v>
      </x:c>
      <x:c r="E20" t="n">
        <x:v>2</x:v>
      </x:c>
      <x:c r="F20" t="str">
        <x:v>database.query</x:v>
      </x:c>
      <x:c r="G20" t="n">
        <x:v>1</x:v>
      </x:c>
      <x:c r="H20" s="18" t="str">
        <x:v>{"query":"SELECT metric FROM synthetic_table"}</x:v>
      </x:c>
      <x:c r="I20" t="str">
        <x:v>yes</x:v>
      </x:c>
      <x:c r="J20" t="n">
        <x:v>602</x:v>
      </x:c>
      <x:c r="K20" t="str"/>
      <x:c r="L20" s="18" t="str">
        <x:v>Returned 12 synthetic rows.</x:v>
      </x:c>
      <x:c r="M20" t="n">
        <x:v>54</x:v>
      </x:c>
      <x:c r="N20" t="n">
        <x:v>78</x:v>
      </x:c>
    </x:row>
    <x:row r="21">
      <x:c r="A21" s="12" t="n">
        <x:v>46244.10423611111</x:v>
      </x:c>
      <x:c r="B21" t="str">
        <x:v>run_38b2db4e58</x:v>
      </x:c>
      <x:c r="C21" t="str">
        <x:v>call_16ceff521b</x:v>
      </x:c>
      <x:c r="D21" t="str">
        <x:v>multi_tool_agent</x:v>
      </x:c>
      <x:c r="E21" t="n">
        <x:v>3</x:v>
      </x:c>
      <x:c r="F21" t="str">
        <x:v>calculator</x:v>
      </x:c>
      <x:c r="G21" t="n">
        <x:v>1</x:v>
      </x:c>
      <x:c r="H21" s="18" t="str">
        <x:v>{"expression":"(actual-target)/target"}</x:v>
      </x:c>
      <x:c r="I21" t="str">
        <x:v>yes</x:v>
      </x:c>
      <x:c r="J21" t="n">
        <x:v>80</x:v>
      </x:c>
      <x:c r="K21" t="str"/>
      <x:c r="L21" s="18" t="str">
        <x:v>Returned numeric result.</x:v>
      </x:c>
      <x:c r="M21" t="n">
        <x:v>153</x:v>
      </x:c>
      <x:c r="N21" t="n">
        <x:v>21</x:v>
      </x:c>
    </x:row>
    <x:row r="22">
      <x:c r="A22" s="12" t="n">
        <x:v>46244.10625</x:v>
      </x:c>
      <x:c r="B22" t="str">
        <x:v>run_8ce1b8c569</x:v>
      </x:c>
      <x:c r="C22" t="str">
        <x:v>call_4bde167c43</x:v>
      </x:c>
      <x:c r="D22" t="str">
        <x:v>inbox_followup</x:v>
      </x:c>
      <x:c r="E22" t="n">
        <x:v>1</x:v>
      </x:c>
      <x:c r="F22" t="str">
        <x:v>email.search</x:v>
      </x:c>
      <x:c r="G22" t="n">
        <x:v>1</x:v>
      </x:c>
      <x:c r="H22" s="18" t="str">
        <x:v>{"query":"latest customer follow-up"}</x:v>
      </x:c>
      <x:c r="I22" t="str">
        <x:v>yes</x:v>
      </x:c>
      <x:c r="J22" t="n">
        <x:v>742</x:v>
      </x:c>
      <x:c r="K22" t="str"/>
      <x:c r="L22" s="18" t="str">
        <x:v>Returned 4 matching synthetic emails.</x:v>
      </x:c>
      <x:c r="M22" t="n">
        <x:v>49</x:v>
      </x:c>
      <x:c r="N22" t="n">
        <x:v>19</x:v>
      </x:c>
    </x:row>
    <x:row r="23">
      <x:c r="A23" s="12" t="n">
        <x:v>46244.10628472222</x:v>
      </x:c>
      <x:c r="B23" t="str">
        <x:v>run_8ce1b8c569</x:v>
      </x:c>
      <x:c r="C23" t="str">
        <x:v>call_b8b27df216</x:v>
      </x:c>
      <x:c r="D23" t="str">
        <x:v>inbox_followup</x:v>
      </x:c>
      <x:c r="E23" t="n">
        <x:v>2</x:v>
      </x:c>
      <x:c r="F23" t="str">
        <x:v>email.send</x:v>
      </x:c>
      <x:c r="G23" t="n">
        <x:v>1</x:v>
      </x:c>
      <x:c r="H23" s="18" t="str">
        <x:v>{"recipient":"customer@example.com","draft":"follow-up"}</x:v>
      </x:c>
      <x:c r="I23" t="str">
        <x:v>yes</x:v>
      </x:c>
      <x:c r="J23" t="n">
        <x:v>601</x:v>
      </x:c>
      <x:c r="K23" t="str"/>
      <x:c r="L23" s="18" t="str">
        <x:v>Synthetic email send accepted.</x:v>
      </x:c>
      <x:c r="M23" t="n">
        <x:v>180</x:v>
      </x:c>
      <x:c r="N23" t="n">
        <x:v>35</x:v>
      </x:c>
    </x:row>
    <x:row r="24">
      <x:c r="A24" s="12" t="n">
        <x:v>46244.10833333333</x:v>
      </x:c>
      <x:c r="B24" t="str">
        <x:v>run_a4ce3214a8</x:v>
      </x:c>
      <x:c r="C24" t="str">
        <x:v>call_99ee7ac399</x:v>
      </x:c>
      <x:c r="D24" t="str">
        <x:v>research_answer</x:v>
      </x:c>
      <x:c r="E24" t="n">
        <x:v>1</x:v>
      </x:c>
      <x:c r="F24" t="str">
        <x:v>web.search</x:v>
      </x:c>
      <x:c r="G24" t="n">
        <x:v>1</x:v>
      </x:c>
      <x:c r="H24" s="18" t="str">
        <x:v>{"query":"synthetic research topic"}</x:v>
      </x:c>
      <x:c r="I24" t="str">
        <x:v>no</x:v>
      </x:c>
      <x:c r="J24" t="n">
        <x:v>919</x:v>
      </x:c>
      <x:c r="K24" t="str">
        <x:v>rate_limit</x:v>
      </x:c>
      <x:c r="L24" s="18" t="str"/>
      <x:c r="M24" t="n">
        <x:v>216</x:v>
      </x:c>
      <x:c r="N24" t="n">
        <x:v>79</x:v>
      </x:c>
    </x:row>
    <x:row r="25">
      <x:c r="A25" s="12" t="n">
        <x:v>46244.10836805555</x:v>
      </x:c>
      <x:c r="B25" t="str">
        <x:v>run_a4ce3214a8</x:v>
      </x:c>
      <x:c r="C25" t="str">
        <x:v>call_2fcdde1985</x:v>
      </x:c>
      <x:c r="D25" t="str">
        <x:v>research_answer</x:v>
      </x:c>
      <x:c r="E25" t="n">
        <x:v>1</x:v>
      </x:c>
      <x:c r="F25" t="str">
        <x:v>web.search</x:v>
      </x:c>
      <x:c r="G25" t="n">
        <x:v>2</x:v>
      </x:c>
      <x:c r="H25" s="18" t="str">
        <x:v>{"query":"synthetic research topic"}</x:v>
      </x:c>
      <x:c r="I25" t="str">
        <x:v>yes</x:v>
      </x:c>
      <x:c r="J25" t="n">
        <x:v>1019</x:v>
      </x:c>
      <x:c r="K25" t="str"/>
      <x:c r="L25" s="18" t="str"/>
      <x:c r="M25" t="n">
        <x:v>101</x:v>
      </x:c>
      <x:c r="N25" t="n">
        <x:v>42</x:v>
      </x:c>
    </x:row>
    <x:row r="26">
      <x:c r="A26" s="12" t="n">
        <x:v>46244.108402777776</x:v>
      </x:c>
      <x:c r="B26" t="str">
        <x:v>run_a4ce3214a8</x:v>
      </x:c>
      <x:c r="C26" t="str">
        <x:v>call_8f2d51f730</x:v>
      </x:c>
      <x:c r="D26" t="str">
        <x:v>research_answer</x:v>
      </x:c>
      <x:c r="E26" t="n">
        <x:v>2</x:v>
      </x:c>
      <x:c r="F26" t="str">
        <x:v>web.search</x:v>
      </x:c>
      <x:c r="G26" t="n">
        <x:v>1</x:v>
      </x:c>
      <x:c r="H26" s="18" t="str">
        <x:v>{"query":"synthetic research topic"}</x:v>
      </x:c>
      <x:c r="I26" t="str">
        <x:v>yes</x:v>
      </x:c>
      <x:c r="J26" t="n">
        <x:v>915</x:v>
      </x:c>
      <x:c r="K26" t="str"/>
      <x:c r="L26" s="18" t="str">
        <x:v>Returned 5 synthetic search results.</x:v>
      </x:c>
      <x:c r="M26" t="n">
        <x:v>127</x:v>
      </x:c>
      <x:c r="N26" t="n">
        <x:v>63</x:v>
      </x:c>
    </x:row>
    <x:row r="27">
      <x:c r="A27" s="12" t="n">
        <x:v>46244.11041666667</x:v>
      </x:c>
      <x:c r="B27" t="str">
        <x:v>run_8497baae8a</x:v>
      </x:c>
      <x:c r="C27" t="str">
        <x:v>call_9c9ad531e0</x:v>
      </x:c>
      <x:c r="D27" t="str">
        <x:v>meeting_scheduler</x:v>
      </x:c>
      <x:c r="E27" t="n">
        <x:v>1</x:v>
      </x:c>
      <x:c r="F27" t="str">
        <x:v>calendar.read</x:v>
      </x:c>
      <x:c r="G27" t="n">
        <x:v>1</x:v>
      </x:c>
      <x:c r="H27" s="18" t="str">
        <x:v>{"date":"2026-08-10"}</x:v>
      </x:c>
      <x:c r="I27" t="str">
        <x:v>yes</x:v>
      </x:c>
      <x:c r="J27" t="n">
        <x:v>432</x:v>
      </x:c>
      <x:c r="K27" t="str"/>
      <x:c r="L27" s="18" t="str">
        <x:v>Returned 3 available time slots.</x:v>
      </x:c>
      <x:c r="M27" t="n">
        <x:v>216</x:v>
      </x:c>
      <x:c r="N27" t="n">
        <x:v>62</x:v>
      </x:c>
    </x:row>
    <x:row r="28">
      <x:c r="A28" s="12" t="n">
        <x:v>46244.110451388886</x:v>
      </x:c>
      <x:c r="B28" t="str">
        <x:v>run_8497baae8a</x:v>
      </x:c>
      <x:c r="C28" t="str">
        <x:v>call_95d4cb1357</x:v>
      </x:c>
      <x:c r="D28" t="str">
        <x:v>meeting_scheduler</x:v>
      </x:c>
      <x:c r="E28" t="n">
        <x:v>2</x:v>
      </x:c>
      <x:c r="F28" t="str">
        <x:v>calendar.create</x:v>
      </x:c>
      <x:c r="G28" t="n">
        <x:v>1</x:v>
      </x:c>
      <x:c r="H28" s="18" t="str">
        <x:v>{"title":"Project sync","duration_min":30}</x:v>
      </x:c>
      <x:c r="I28" t="str">
        <x:v>yes</x:v>
      </x:c>
      <x:c r="J28" t="n">
        <x:v>945</x:v>
      </x:c>
      <x:c r="K28" t="str"/>
      <x:c r="L28" s="18" t="str">
        <x:v>Created synthetic calendar event.</x:v>
      </x:c>
      <x:c r="M28" t="n">
        <x:v>101</x:v>
      </x:c>
      <x:c r="N28" t="n">
        <x:v>79</x:v>
      </x:c>
    </x:row>
    <x:row r="29">
      <x:c r="A29" s="12" t="n">
        <x:v>46244.1125</x:v>
      </x:c>
      <x:c r="B29" t="str">
        <x:v>run_b64213ba72</x:v>
      </x:c>
      <x:c r="C29" t="str">
        <x:v>call_b5b334d1d0</x:v>
      </x:c>
      <x:c r="D29" t="str">
        <x:v>inbox_followup</x:v>
      </x:c>
      <x:c r="E29" t="n">
        <x:v>1</x:v>
      </x:c>
      <x:c r="F29" t="str">
        <x:v>email.search</x:v>
      </x:c>
      <x:c r="G29" t="n">
        <x:v>1</x:v>
      </x:c>
      <x:c r="H29" s="18" t="str">
        <x:v>{"query":"latest customer follow-up"}</x:v>
      </x:c>
      <x:c r="I29" t="str">
        <x:v>yes</x:v>
      </x:c>
      <x:c r="J29" t="n">
        <x:v>619</x:v>
      </x:c>
      <x:c r="K29" t="str"/>
      <x:c r="L29" s="18" t="str">
        <x:v>Returned 4 matching synthetic emails.</x:v>
      </x:c>
      <x:c r="M29" t="n">
        <x:v>116</x:v>
      </x:c>
      <x:c r="N29" t="n">
        <x:v>81</x:v>
      </x:c>
    </x:row>
    <x:row r="30">
      <x:c r="A30" s="12" t="n">
        <x:v>46244.11253472222</x:v>
      </x:c>
      <x:c r="B30" t="str">
        <x:v>run_b64213ba72</x:v>
      </x:c>
      <x:c r="C30" t="str">
        <x:v>call_94525f4288</x:v>
      </x:c>
      <x:c r="D30" t="str">
        <x:v>inbox_followup</x:v>
      </x:c>
      <x:c r="E30" t="n">
        <x:v>2</x:v>
      </x:c>
      <x:c r="F30" t="str">
        <x:v>email.send</x:v>
      </x:c>
      <x:c r="G30" t="n">
        <x:v>1</x:v>
      </x:c>
      <x:c r="H30" s="18" t="str">
        <x:v>{"recipient":"customer@example.com","draft":"follow-up"}</x:v>
      </x:c>
      <x:c r="I30" t="str">
        <x:v>yes</x:v>
      </x:c>
      <x:c r="J30" t="n">
        <x:v>936</x:v>
      </x:c>
      <x:c r="K30" t="str"/>
      <x:c r="L30" s="18" t="str">
        <x:v>Synthetic email send accepted.</x:v>
      </x:c>
      <x:c r="M30" t="n">
        <x:v>46</x:v>
      </x:c>
      <x:c r="N30" t="n">
        <x:v>90</x:v>
      </x:c>
    </x:row>
    <x:row r="31">
      <x:c r="A31" s="12" t="n">
        <x:v>46244.114583333336</x:v>
      </x:c>
      <x:c r="B31" t="str">
        <x:v>run_d891bdf9f0</x:v>
      </x:c>
      <x:c r="C31" t="str">
        <x:v>call_89c45141a4</x:v>
      </x:c>
      <x:c r="D31" t="str">
        <x:v>meeting_scheduler</x:v>
      </x:c>
      <x:c r="E31" t="n">
        <x:v>1</x:v>
      </x:c>
      <x:c r="F31" t="str">
        <x:v>calendar.read</x:v>
      </x:c>
      <x:c r="G31" t="n">
        <x:v>1</x:v>
      </x:c>
      <x:c r="H31" s="18" t="str">
        <x:v>{"date":"2026-08-10"}</x:v>
      </x:c>
      <x:c r="I31" t="str">
        <x:v>yes</x:v>
      </x:c>
      <x:c r="J31" t="n">
        <x:v>444</x:v>
      </x:c>
      <x:c r="K31" t="str"/>
      <x:c r="L31" s="18" t="str">
        <x:v>Returned 3 available time slots.</x:v>
      </x:c>
      <x:c r="M31" t="n">
        <x:v>183</x:v>
      </x:c>
      <x:c r="N31" t="n">
        <x:v>65</x:v>
      </x:c>
    </x:row>
    <x:row r="32">
      <x:c r="A32" s="12" t="n">
        <x:v>46244.11461805556</x:v>
      </x:c>
      <x:c r="B32" t="str">
        <x:v>run_d891bdf9f0</x:v>
      </x:c>
      <x:c r="C32" t="str">
        <x:v>call_7e9dc79b21</x:v>
      </x:c>
      <x:c r="D32" t="str">
        <x:v>meeting_scheduler</x:v>
      </x:c>
      <x:c r="E32" t="n">
        <x:v>2</x:v>
      </x:c>
      <x:c r="F32" t="str">
        <x:v>calendar.create</x:v>
      </x:c>
      <x:c r="G32" t="n">
        <x:v>1</x:v>
      </x:c>
      <x:c r="H32" s="18" t="str">
        <x:v>{"title":"Project sync","duration_min":30}</x:v>
      </x:c>
      <x:c r="I32" t="str">
        <x:v>yes</x:v>
      </x:c>
      <x:c r="J32" t="n">
        <x:v>705</x:v>
      </x:c>
      <x:c r="K32" t="str"/>
      <x:c r="L32" s="18" t="str">
        <x:v>Created synthetic calendar event.</x:v>
      </x:c>
      <x:c r="M32" t="n">
        <x:v>183</x:v>
      </x:c>
      <x:c r="N32" t="n">
        <x:v>79</x:v>
      </x:c>
    </x:row>
    <x:row r="33">
      <x:c r="A33" s="12" t="n">
        <x:v>46244.11666666667</x:v>
      </x:c>
      <x:c r="B33" t="str">
        <x:v>run_c64c5ef9e2</x:v>
      </x:c>
      <x:c r="C33" t="str">
        <x:v>call_6e0d3df6f1</x:v>
      </x:c>
      <x:c r="D33" t="str">
        <x:v>weather_brief</x:v>
      </x:c>
      <x:c r="E33" t="n">
        <x:v>1</x:v>
      </x:c>
      <x:c r="F33" t="str">
        <x:v>weather.lookup</x:v>
      </x:c>
      <x:c r="G33" t="n">
        <x:v>1</x:v>
      </x:c>
      <x:c r="H33" s="18" t="str">
        <x:v>{"location":"Valletta"}</x:v>
      </x:c>
      <x:c r="I33" t="str">
        <x:v>yes</x:v>
      </x:c>
      <x:c r="J33" t="n">
        <x:v>486</x:v>
      </x:c>
      <x:c r="K33" t="str"/>
      <x:c r="L33" s="18" t="str">
        <x:v>Returned synthetic temperature and forecast.</x:v>
      </x:c>
      <x:c r="M33" t="n">
        <x:v>183</x:v>
      </x:c>
      <x:c r="N33" t="n">
        <x:v>70</x:v>
      </x:c>
    </x:row>
    <x:row r="34">
      <x:c r="A34" s="12" t="n">
        <x:v>46244.11875</x:v>
      </x:c>
      <x:c r="B34" t="str">
        <x:v>run_dabfe9d323</x:v>
      </x:c>
      <x:c r="C34" t="str">
        <x:v>call_b2b6d291b5</x:v>
      </x:c>
      <x:c r="D34" t="str">
        <x:v>research_answer</x:v>
      </x:c>
      <x:c r="E34" t="n">
        <x:v>1</x:v>
      </x:c>
      <x:c r="F34" t="str">
        <x:v>web.search</x:v>
      </x:c>
      <x:c r="G34" t="n">
        <x:v>1</x:v>
      </x:c>
      <x:c r="H34" s="18" t="str">
        <x:v>{"query":"synthetic research topic"}</x:v>
      </x:c>
      <x:c r="I34" t="str">
        <x:v>no</x:v>
      </x:c>
      <x:c r="J34" t="n">
        <x:v>875</x:v>
      </x:c>
      <x:c r="K34" t="str">
        <x:v>timeout</x:v>
      </x:c>
      <x:c r="L34" s="18" t="str"/>
      <x:c r="M34" t="n">
        <x:v>76</x:v>
      </x:c>
      <x:c r="N34" t="n">
        <x:v>61</x:v>
      </x:c>
    </x:row>
    <x:row r="35">
      <x:c r="A35" s="12" t="n">
        <x:v>46244.118784722225</x:v>
      </x:c>
      <x:c r="B35" t="str">
        <x:v>run_dabfe9d323</x:v>
      </x:c>
      <x:c r="C35" t="str">
        <x:v>call_3bcadce276</x:v>
      </x:c>
      <x:c r="D35" t="str">
        <x:v>research_answer</x:v>
      </x:c>
      <x:c r="E35" t="n">
        <x:v>1</x:v>
      </x:c>
      <x:c r="F35" t="str">
        <x:v>web.search</x:v>
      </x:c>
      <x:c r="G35" t="n">
        <x:v>2</x:v>
      </x:c>
      <x:c r="H35" s="18" t="str">
        <x:v>{"query":"synthetic research topic"}</x:v>
      </x:c>
      <x:c r="I35" t="str">
        <x:v>yes</x:v>
      </x:c>
      <x:c r="J35" t="n">
        <x:v>1090</x:v>
      </x:c>
      <x:c r="K35" t="str"/>
      <x:c r="L35" s="18" t="str"/>
      <x:c r="M35" t="n">
        <x:v>214</x:v>
      </x:c>
      <x:c r="N35" t="n">
        <x:v>13</x:v>
      </x:c>
    </x:row>
    <x:row r="36">
      <x:c r="A36" s="12" t="n">
        <x:v>46244.11881944445</x:v>
      </x:c>
      <x:c r="B36" t="str">
        <x:v>run_dabfe9d323</x:v>
      </x:c>
      <x:c r="C36" t="str">
        <x:v>call_2eef76b632</x:v>
      </x:c>
      <x:c r="D36" t="str">
        <x:v>research_answer</x:v>
      </x:c>
      <x:c r="E36" t="n">
        <x:v>2</x:v>
      </x:c>
      <x:c r="F36" t="str">
        <x:v>web.search</x:v>
      </x:c>
      <x:c r="G36" t="n">
        <x:v>1</x:v>
      </x:c>
      <x:c r="H36" s="18" t="str">
        <x:v>{"query":"synthetic research topic"}</x:v>
      </x:c>
      <x:c r="I36" t="str">
        <x:v>yes</x:v>
      </x:c>
      <x:c r="J36" t="n">
        <x:v>702</x:v>
      </x:c>
      <x:c r="K36" t="str"/>
      <x:c r="L36" s="18" t="str">
        <x:v>Returned 5 synthetic search results.</x:v>
      </x:c>
      <x:c r="M36" t="n">
        <x:v>60</x:v>
      </x:c>
      <x:c r="N36" t="n">
        <x:v>63</x:v>
      </x:c>
    </x:row>
    <x:row r="37">
      <x:c r="A37" s="12" t="n">
        <x:v>46244.120833333334</x:v>
      </x:c>
      <x:c r="B37" t="str">
        <x:v>run_16cec5ef9b</x:v>
      </x:c>
      <x:c r="C37" t="str">
        <x:v>call_8034369128</x:v>
      </x:c>
      <x:c r="D37" t="str">
        <x:v>multi_tool_agent</x:v>
      </x:c>
      <x:c r="E37" t="n">
        <x:v>1</x:v>
      </x:c>
      <x:c r="F37" t="str">
        <x:v>web.search</x:v>
      </x:c>
      <x:c r="G37" t="n">
        <x:v>1</x:v>
      </x:c>
      <x:c r="H37" s="18" t="str">
        <x:v>{"query":"synthetic research topic"}</x:v>
      </x:c>
      <x:c r="I37" t="str">
        <x:v>yes</x:v>
      </x:c>
      <x:c r="J37" t="n">
        <x:v>964</x:v>
      </x:c>
      <x:c r="K37" t="str"/>
      <x:c r="L37" s="18" t="str">
        <x:v>Returned 5 synthetic search results.</x:v>
      </x:c>
      <x:c r="M37" t="n">
        <x:v>192</x:v>
      </x:c>
      <x:c r="N37" t="n">
        <x:v>79</x:v>
      </x:c>
    </x:row>
    <x:row r="38">
      <x:c r="A38" s="12" t="n">
        <x:v>46244.12086805556</x:v>
      </x:c>
      <x:c r="B38" t="str">
        <x:v>run_16cec5ef9b</x:v>
      </x:c>
      <x:c r="C38" t="str">
        <x:v>call_1c074a19c8</x:v>
      </x:c>
      <x:c r="D38" t="str">
        <x:v>multi_tool_agent</x:v>
      </x:c>
      <x:c r="E38" t="n">
        <x:v>2</x:v>
      </x:c>
      <x:c r="F38" t="str">
        <x:v>database.query</x:v>
      </x:c>
      <x:c r="G38" t="n">
        <x:v>1</x:v>
      </x:c>
      <x:c r="H38" s="18" t="str">
        <x:v>{"query":"SELECT metric FROM synthetic_table"}</x:v>
      </x:c>
      <x:c r="I38" t="str">
        <x:v>yes</x:v>
      </x:c>
      <x:c r="J38" t="n">
        <x:v>872</x:v>
      </x:c>
      <x:c r="K38" t="str"/>
      <x:c r="L38" s="18" t="str">
        <x:v>Returned 12 synthetic rows.</x:v>
      </x:c>
      <x:c r="M38" t="n">
        <x:v>107</x:v>
      </x:c>
      <x:c r="N38" t="n">
        <x:v>21</x:v>
      </x:c>
    </x:row>
    <x:row r="39">
      <x:c r="A39" s="12" t="n">
        <x:v>46244.12090277778</x:v>
      </x:c>
      <x:c r="B39" t="str">
        <x:v>run_16cec5ef9b</x:v>
      </x:c>
      <x:c r="C39" t="str">
        <x:v>call_3563b826d0</x:v>
      </x:c>
      <x:c r="D39" t="str">
        <x:v>multi_tool_agent</x:v>
      </x:c>
      <x:c r="E39" t="n">
        <x:v>3</x:v>
      </x:c>
      <x:c r="F39" t="str">
        <x:v>calculator</x:v>
      </x:c>
      <x:c r="G39" t="n">
        <x:v>1</x:v>
      </x:c>
      <x:c r="H39" s="18" t="str">
        <x:v>{"expression":"(actual-target)/target"}</x:v>
      </x:c>
      <x:c r="I39" t="str">
        <x:v>yes</x:v>
      </x:c>
      <x:c r="J39" t="n">
        <x:v>149</x:v>
      </x:c>
      <x:c r="K39" t="str"/>
      <x:c r="L39" s="18" t="str">
        <x:v>Returned numeric result.</x:v>
      </x:c>
      <x:c r="M39" t="n">
        <x:v>55</x:v>
      </x:c>
      <x:c r="N39" t="n">
        <x:v>73</x:v>
      </x:c>
    </x:row>
    <x:row r="40">
      <x:c r="A40" s="12" t="n">
        <x:v>46244.12291666667</x:v>
      </x:c>
      <x:c r="B40" t="str">
        <x:v>run_e925515d2b</x:v>
      </x:c>
      <x:c r="C40" t="str">
        <x:v>call_6295109eb2</x:v>
      </x:c>
      <x:c r="D40" t="str">
        <x:v>research_answer</x:v>
      </x:c>
      <x:c r="E40" t="n">
        <x:v>1</x:v>
      </x:c>
      <x:c r="F40" t="str">
        <x:v>web.search</x:v>
      </x:c>
      <x:c r="G40" t="n">
        <x:v>1</x:v>
      </x:c>
      <x:c r="H40" s="18" t="str">
        <x:v>{"query":"synthetic research topic"}</x:v>
      </x:c>
      <x:c r="I40" t="str">
        <x:v>yes</x:v>
      </x:c>
      <x:c r="J40" t="n">
        <x:v>775</x:v>
      </x:c>
      <x:c r="K40" t="str"/>
      <x:c r="L40" s="18" t="str">
        <x:v>Returned 5 synthetic search results.</x:v>
      </x:c>
      <x:c r="M40" t="n">
        <x:v>114</x:v>
      </x:c>
      <x:c r="N40" t="n">
        <x:v>50</x:v>
      </x:c>
    </x:row>
    <x:row r="41">
      <x:c r="A41" s="12" t="n">
        <x:v>46244.12295138889</x:v>
      </x:c>
      <x:c r="B41" t="str">
        <x:v>run_e925515d2b</x:v>
      </x:c>
      <x:c r="C41" t="str">
        <x:v>call_5304e9f4bc</x:v>
      </x:c>
      <x:c r="D41" t="str">
        <x:v>research_answer</x:v>
      </x:c>
      <x:c r="E41" t="n">
        <x:v>2</x:v>
      </x:c>
      <x:c r="F41" t="str">
        <x:v>web.search</x:v>
      </x:c>
      <x:c r="G41" t="n">
        <x:v>1</x:v>
      </x:c>
      <x:c r="H41" s="18" t="str">
        <x:v>{"query":"synthetic research topic"}</x:v>
      </x:c>
      <x:c r="I41" t="str">
        <x:v>yes</x:v>
      </x:c>
      <x:c r="J41" t="n">
        <x:v>660</x:v>
      </x:c>
      <x:c r="K41" t="str"/>
      <x:c r="L41" s="18" t="str">
        <x:v>Returned 5 synthetic search results.</x:v>
      </x:c>
      <x:c r="M41" t="n">
        <x:v>117</x:v>
      </x:c>
      <x:c r="N41" t="n">
        <x:v>45</x:v>
      </x:c>
    </x:row>
    <x:row r="42">
      <x:c r="A42" s="12" t="n">
        <x:v>46244.125</x:v>
      </x:c>
      <x:c r="B42" t="str">
        <x:v>run_d3f82c0640</x:v>
      </x:c>
      <x:c r="C42" t="str">
        <x:v>call_bb893e07df</x:v>
      </x:c>
      <x:c r="D42" t="str">
        <x:v>inbox_followup</x:v>
      </x:c>
      <x:c r="E42" t="n">
        <x:v>1</x:v>
      </x:c>
      <x:c r="F42" t="str">
        <x:v>email.search</x:v>
      </x:c>
      <x:c r="G42" t="n">
        <x:v>1</x:v>
      </x:c>
      <x:c r="H42" s="18" t="str">
        <x:v>{"query":"latest customer follow-up"}</x:v>
      </x:c>
      <x:c r="I42" t="str">
        <x:v>yes</x:v>
      </x:c>
      <x:c r="J42" t="n">
        <x:v>1009</x:v>
      </x:c>
      <x:c r="K42" t="str"/>
      <x:c r="L42" s="18" t="str">
        <x:v>Returned 4 matching synthetic emails.</x:v>
      </x:c>
      <x:c r="M42" t="n">
        <x:v>210</x:v>
      </x:c>
      <x:c r="N42" t="n">
        <x:v>71</x:v>
      </x:c>
    </x:row>
    <x:row r="43">
      <x:c r="A43" s="12" t="n">
        <x:v>46244.12503472222</x:v>
      </x:c>
      <x:c r="B43" t="str">
        <x:v>run_d3f82c0640</x:v>
      </x:c>
      <x:c r="C43" t="str">
        <x:v>call_113ed3b160</x:v>
      </x:c>
      <x:c r="D43" t="str">
        <x:v>inbox_followup</x:v>
      </x:c>
      <x:c r="E43" t="n">
        <x:v>2</x:v>
      </x:c>
      <x:c r="F43" t="str">
        <x:v>email.send</x:v>
      </x:c>
      <x:c r="G43" t="n">
        <x:v>1</x:v>
      </x:c>
      <x:c r="H43" s="18" t="str">
        <x:v>{"recipient":"customer@example.com","draft":"follow-up"}</x:v>
      </x:c>
      <x:c r="I43" t="str">
        <x:v>yes</x:v>
      </x:c>
      <x:c r="J43" t="n">
        <x:v>897</x:v>
      </x:c>
      <x:c r="K43" t="str"/>
      <x:c r="L43" s="18" t="str">
        <x:v>Synthetic email send accepted.</x:v>
      </x:c>
      <x:c r="M43" t="n">
        <x:v>105</x:v>
      </x:c>
      <x:c r="N43" t="n">
        <x:v>78</x:v>
      </x:c>
    </x:row>
    <x:row r="44">
      <x:c r="A44" s="12" t="n">
        <x:v>46244.12708333333</x:v>
      </x:c>
      <x:c r="B44" t="str">
        <x:v>run_4262225207</x:v>
      </x:c>
      <x:c r="C44" t="str">
        <x:v>call_8710a14d92</x:v>
      </x:c>
      <x:c r="D44" t="str">
        <x:v>inbox_followup</x:v>
      </x:c>
      <x:c r="E44" t="n">
        <x:v>1</x:v>
      </x:c>
      <x:c r="F44" t="str">
        <x:v>email.search</x:v>
      </x:c>
      <x:c r="G44" t="n">
        <x:v>1</x:v>
      </x:c>
      <x:c r="H44" s="18" t="str">
        <x:v>{"query":"latest customer follow-up"}</x:v>
      </x:c>
      <x:c r="I44" t="str">
        <x:v>yes</x:v>
      </x:c>
      <x:c r="J44" t="n">
        <x:v>457</x:v>
      </x:c>
      <x:c r="K44" t="str"/>
      <x:c r="L44" s="18" t="str">
        <x:v>Returned 4 matching synthetic emails.</x:v>
      </x:c>
      <x:c r="M44" t="n">
        <x:v>77</x:v>
      </x:c>
      <x:c r="N44" t="n">
        <x:v>74</x:v>
      </x:c>
    </x:row>
    <x:row r="45">
      <x:c r="A45" s="12" t="n">
        <x:v>46244.127118055556</x:v>
      </x:c>
      <x:c r="B45" t="str">
        <x:v>run_4262225207</x:v>
      </x:c>
      <x:c r="C45" t="str">
        <x:v>call_8fe84c3994</x:v>
      </x:c>
      <x:c r="D45" t="str">
        <x:v>inbox_followup</x:v>
      </x:c>
      <x:c r="E45" t="n">
        <x:v>2</x:v>
      </x:c>
      <x:c r="F45" t="str">
        <x:v>email.send</x:v>
      </x:c>
      <x:c r="G45" t="n">
        <x:v>1</x:v>
      </x:c>
      <x:c r="H45" s="18" t="str">
        <x:v>{"recipient":"customer@example.com","draft":"follow-up"}</x:v>
      </x:c>
      <x:c r="I45" t="str">
        <x:v>yes</x:v>
      </x:c>
      <x:c r="J45" t="n">
        <x:v>1047</x:v>
      </x:c>
      <x:c r="K45" t="str"/>
      <x:c r="L45" s="18" t="str">
        <x:v>Synthetic email send accepted.</x:v>
      </x:c>
      <x:c r="M45" t="n">
        <x:v>198</x:v>
      </x:c>
      <x:c r="N45" t="n">
        <x:v>69</x:v>
      </x:c>
    </x:row>
    <x:row r="46">
      <x:c r="A46" s="12" t="n">
        <x:v>46244.129166666666</x:v>
      </x:c>
      <x:c r="B46" t="str">
        <x:v>run_e6e8434765</x:v>
      </x:c>
      <x:c r="C46" t="str">
        <x:v>call_9cdfc01799</x:v>
      </x:c>
      <x:c r="D46" t="str">
        <x:v>weather_brief</x:v>
      </x:c>
      <x:c r="E46" t="n">
        <x:v>1</x:v>
      </x:c>
      <x:c r="F46" t="str">
        <x:v>weather.lookup</x:v>
      </x:c>
      <x:c r="G46" t="n">
        <x:v>1</x:v>
      </x:c>
      <x:c r="H46" s="18" t="str">
        <x:v>{"location":"Valletta"}</x:v>
      </x:c>
      <x:c r="I46" t="str">
        <x:v>yes</x:v>
      </x:c>
      <x:c r="J46" t="n">
        <x:v>501</x:v>
      </x:c>
      <x:c r="K46" t="str"/>
      <x:c r="L46" s="18" t="str">
        <x:v>Returned synthetic temperature and forecast.</x:v>
      </x:c>
      <x:c r="M46" t="n">
        <x:v>49</x:v>
      </x:c>
      <x:c r="N46" t="n">
        <x:v>43</x:v>
      </x:c>
    </x:row>
    <x:row r="47">
      <x:c r="A47" s="12" t="n">
        <x:v>46244.13125</x:v>
      </x:c>
      <x:c r="B47" t="str">
        <x:v>run_716e76779e</x:v>
      </x:c>
      <x:c r="C47" t="str">
        <x:v>call_0ad8a4a50c</x:v>
      </x:c>
      <x:c r="D47" t="str">
        <x:v>weather_brief</x:v>
      </x:c>
      <x:c r="E47" t="n">
        <x:v>1</x:v>
      </x:c>
      <x:c r="F47" t="str">
        <x:v>weather.lookup</x:v>
      </x:c>
      <x:c r="G47" t="n">
        <x:v>1</x:v>
      </x:c>
      <x:c r="H47" s="18" t="str">
        <x:v>{"location":"Valletta"}</x:v>
      </x:c>
      <x:c r="I47" t="str">
        <x:v>yes</x:v>
      </x:c>
      <x:c r="J47" t="n">
        <x:v>486</x:v>
      </x:c>
      <x:c r="K47" t="str"/>
      <x:c r="L47" s="18" t="str">
        <x:v>Returned synthetic temperature and forecast.</x:v>
      </x:c>
      <x:c r="M47" t="n">
        <x:v>184</x:v>
      </x:c>
      <x:c r="N47" t="n">
        <x:v>70</x:v>
      </x:c>
    </x:row>
  </x:sheetData>
  <x:conditionalFormatting sqref="J2:J47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{55462039-5201-C3F7-9F0C-DE1186E101F1}</x14:id>
        </x:ext>
      </x:extLst>
    </x:cfRule>
  </x:conditionalFormatting>
  <x:conditionalFormatting sqref="I2:I47">
    <x:cfRule type="expression" dxfId="1" priority="2">
      <x:formula>I2="no"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dc20652b64405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462039-5201-C3F7-9F0C-DE1186E101F1}">
            <x14:dataBar gradient="1">
              <x14:cfvo type="min"/>
              <x14:cfvo type="max"/>
              <x14:fillColor rgb="FF156082"/>
            </x14:dataBar>
          </x14:cfRule>
          <xm:sqref>J2:J47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28" hidden="0" customWidth="1"/>
    <x:col min="5" max="5" width="12" hidden="0" customWidth="1"/>
    <x:col min="6" max="6" width="16" hidden="0" customWidth="1"/>
    <x:col min="7" max="7" width="18" hidden="0" customWidth="1"/>
  </x:cols>
  <x:sheetData>
    <x:row r="1" ht="28" customHeight="1">
      <x:c r="A1" s="23" t="str">
        <x:v>Synthetic AI Tool-Run Dashboard</x:v>
      </x:c>
      <x:c r="B1" s="23"/>
      <x:c r="C1" s="23"/>
      <x:c r="D1" s="23"/>
      <x:c r="E1" s="23"/>
      <x:c r="F1" s="23"/>
      <x:c r="G1" s="23"/>
      <x:c r="H1" s="23"/>
    </x:row>
    <x:row r="3">
      <x:c r="A3" s="7" t="str">
        <x:v>KPI</x:v>
      </x:c>
      <x:c r="B3" s="7" t="str">
        <x:v>Value</x:v>
      </x:c>
      <x:c r="D3" s="7" t="str">
        <x:v>Tool</x:v>
      </x:c>
      <x:c r="E3" s="7" t="str">
        <x:v>Calls</x:v>
      </x:c>
      <x:c r="F3" s="7" t="str">
        <x:v>Success Rate</x:v>
      </x:c>
      <x:c r="G3" s="7" t="str">
        <x:v>Avg Latency (ms)</x:v>
      </x:c>
    </x:row>
    <x:row r="4">
      <x:c r="A4" t="str">
        <x:v>Agent Runs</x:v>
      </x:c>
      <x:c r="B4" t="n">
        <x:f>COUNTA('Agent Runs'!B2:B25)</x:f>
        <x:v>24</x:v>
      </x:c>
      <x:c r="D4" t="str">
        <x:v>web.search</x:v>
      </x:c>
      <x:c r="E4" t="n">
        <x:f>COUNTIF('Tool Calls'!F2:F47,D4)</x:f>
        <x:v>12</x:v>
      </x:c>
      <x:c r="F4" s="14" t="n">
        <x:f>IF(E4=0,0,COUNTIFS('Tool Calls'!F2:F47,D4,'Tool Calls'!I2:I47,"yes")/E4)</x:f>
        <x:v>0.8333333333333334</x:v>
      </x:c>
      <x:c r="G4" s="16" t="n">
        <x:f>IF(E4=0,0,SUMIF('Tool Calls'!F2:F47,D4,'Tool Calls'!J2:J47)/E4)</x:f>
        <x:v>887.5</x:v>
      </x:c>
    </x:row>
    <x:row r="5">
      <x:c r="A5" t="str">
        <x:v>Run Success Rate</x:v>
      </x:c>
      <x:c r="B5" s="14" t="n">
        <x:f>COUNTIF('Agent Runs'!I2:I25,"yes")/B4</x:f>
        <x:v>1</x:v>
      </x:c>
      <x:c r="D5" t="str">
        <x:v>weather.lookup</x:v>
      </x:c>
      <x:c r="E5" t="n">
        <x:f>COUNTIF('Tool Calls'!F2:F47,D5)</x:f>
        <x:v>6</x:v>
      </x:c>
      <x:c r="F5" s="14" t="n">
        <x:f>IF(E5=0,0,COUNTIFS('Tool Calls'!F2:F47,D5,'Tool Calls'!I2:I47,"yes")/E5)</x:f>
        <x:v>1</x:v>
      </x:c>
      <x:c r="G5" s="16" t="n">
        <x:f>IF(E5=0,0,SUMIF('Tool Calls'!F2:F47,D5,'Tool Calls'!J2:J47)/E5)</x:f>
        <x:v>485.5</x:v>
      </x:c>
    </x:row>
    <x:row r="6">
      <x:c r="A6" t="str">
        <x:v>Tool Calls</x:v>
      </x:c>
      <x:c r="B6" t="n">
        <x:f>COUNTA('Tool Calls'!C2:C47)</x:f>
        <x:v>46</x:v>
      </x:c>
      <x:c r="D6" t="str">
        <x:v>calendar.read</x:v>
      </x:c>
      <x:c r="E6" t="n">
        <x:f>COUNTIF('Tool Calls'!F2:F47,D6)</x:f>
        <x:v>4</x:v>
      </x:c>
      <x:c r="F6" s="14" t="n">
        <x:f>IF(E6=0,0,COUNTIFS('Tool Calls'!F2:F47,D6,'Tool Calls'!I2:I47,"yes")/E6)</x:f>
        <x:v>1</x:v>
      </x:c>
      <x:c r="G6" s="16" t="n">
        <x:f>IF(E6=0,0,SUMIF('Tool Calls'!F2:F47,D6,'Tool Calls'!J2:J47)/E6)</x:f>
        <x:v>478.5</x:v>
      </x:c>
    </x:row>
    <x:row r="7">
      <x:c r="A7" t="str">
        <x:v>Tool Call Success Rate</x:v>
      </x:c>
      <x:c r="B7" s="14" t="n">
        <x:f>COUNTIF('Tool Calls'!I2:I47,"yes")/B6</x:f>
        <x:v>0.9565217391304348</x:v>
      </x:c>
      <x:c r="D7" t="str">
        <x:v>calendar.create</x:v>
      </x:c>
      <x:c r="E7" t="n">
        <x:f>COUNTIF('Tool Calls'!F2:F47,D7)</x:f>
        <x:v>4</x:v>
      </x:c>
      <x:c r="F7" s="14" t="n">
        <x:f>IF(E7=0,0,COUNTIFS('Tool Calls'!F2:F47,D7,'Tool Calls'!I2:I47,"yes")/E7)</x:f>
        <x:v>1</x:v>
      </x:c>
      <x:c r="G7" s="16" t="n">
        <x:f>IF(E7=0,0,SUMIF('Tool Calls'!F2:F47,D7,'Tool Calls'!J2:J47)/E7)</x:f>
        <x:v>661.5</x:v>
      </x:c>
    </x:row>
    <x:row r="8">
      <x:c r="A8" t="str">
        <x:v>Retries</x:v>
      </x:c>
      <x:c r="B8" t="n">
        <x:f>SUM('Agent Runs'!G2:G25)</x:f>
        <x:v>2</x:v>
      </x:c>
      <x:c r="D8" t="str">
        <x:v>email.search</x:v>
      </x:c>
      <x:c r="E8" t="n">
        <x:f>COUNTIF('Tool Calls'!F2:F47,D8)</x:f>
        <x:v>7</x:v>
      </x:c>
      <x:c r="F8" s="14" t="n">
        <x:f>IF(E8=0,0,COUNTIFS('Tool Calls'!F2:F47,D8,'Tool Calls'!I2:I47,"yes")/E8)</x:f>
        <x:v>1</x:v>
      </x:c>
      <x:c r="G8" s="16" t="n">
        <x:f>IF(E8=0,0,SUMIF('Tool Calls'!F2:F47,D8,'Tool Calls'!J2:J47)/E8)</x:f>
        <x:v>727.8571428571429</x:v>
      </x:c>
    </x:row>
    <x:row r="9">
      <x:c r="A9" t="str">
        <x:v>Avg Run Latency (ms)</x:v>
      </x:c>
      <x:c r="B9" s="16" t="n">
        <x:f>AVERAGE('Agent Runs'!H2:H25)</x:f>
        <x:v>1337.4583333333333</x:v>
      </x:c>
      <x:c r="D9" t="str">
        <x:v>email.send</x:v>
      </x:c>
      <x:c r="E9" t="n">
        <x:f>COUNTIF('Tool Calls'!F2:F47,D9)</x:f>
        <x:v>7</x:v>
      </x:c>
      <x:c r="F9" s="14" t="n">
        <x:f>IF(E9=0,0,COUNTIFS('Tool Calls'!F2:F47,D9,'Tool Calls'!I2:I47,"yes")/E9)</x:f>
        <x:v>1</x:v>
      </x:c>
      <x:c r="G9" s="16" t="n">
        <x:f>IF(E9=0,0,SUMIF('Tool Calls'!F2:F47,D9,'Tool Calls'!J2:J47)/E9)</x:f>
        <x:v>904.7142857142857</x:v>
      </x:c>
    </x:row>
    <x:row r="10">
      <x:c r="D10" t="str">
        <x:v>calculator</x:v>
      </x:c>
      <x:c r="E10" t="n">
        <x:f>COUNTIF('Tool Calls'!F2:F47,D10)</x:f>
        <x:v>3</x:v>
      </x:c>
      <x:c r="F10" s="14" t="n">
        <x:f>IF(E10=0,0,COUNTIFS('Tool Calls'!F2:F47,D10,'Tool Calls'!I2:I47,"yes")/E10)</x:f>
        <x:v>1</x:v>
      </x:c>
      <x:c r="G10" s="16" t="n">
        <x:f>IF(E10=0,0,SUMIF('Tool Calls'!F2:F47,D10,'Tool Calls'!J2:J47)/E10)</x:f>
        <x:v>105</x:v>
      </x:c>
    </x:row>
    <x:row r="11">
      <x:c r="D11" t="str">
        <x:v>database.query</x:v>
      </x:c>
      <x:c r="E11" t="n">
        <x:f>COUNTIF('Tool Calls'!F2:F47,D11)</x:f>
        <x:v>3</x:v>
      </x:c>
      <x:c r="F11" s="14" t="n">
        <x:f>IF(E11=0,0,COUNTIFS('Tool Calls'!F2:F47,D11,'Tool Calls'!I2:I47,"yes")/E11)</x:f>
        <x:v>1</x:v>
      </x:c>
      <x:c r="G11" s="16" t="n">
        <x:f>IF(E11=0,0,SUMIF('Tool Calls'!F2:F47,D11,'Tool Calls'!J2:J47)/E11)</x:f>
        <x:v>744.3333333333334</x:v>
      </x:c>
    </x:row>
    <x:row r="12">
      <x:c r="A12" s="7" t="str">
        <x:v>Error Type</x:v>
      </x:c>
      <x:c r="B12" s="7" t="str">
        <x:v>Count</x:v>
      </x:c>
      <x:c r="C12" s="7" t="str">
        <x:v>Rate</x:v>
      </x:c>
      <x:c r="D12" s="7" t="str">
        <x:v>Meaning</x:v>
      </x:c>
    </x:row>
    <x:row r="13">
      <x:c r="A13" t="str">
        <x:v>timeout</x:v>
      </x:c>
      <x:c r="B13" t="n">
        <x:f>COUNTIF('Tool Calls'!K2:K47,A13)</x:f>
        <x:v>1</x:v>
      </x:c>
      <x:c r="C13" s="14" t="n">
        <x:f>B13/$B$6</x:f>
        <x:v>0.021739130434782608</x:v>
      </x:c>
      <x:c r="D13" t="str">
        <x:v>Tool did not respond in time</x:v>
      </x:c>
    </x:row>
    <x:row r="14">
      <x:c r="A14" t="str">
        <x:v>rate_limit</x:v>
      </x:c>
      <x:c r="B14" t="n">
        <x:f>COUNTIF('Tool Calls'!K2:K47,A14)</x:f>
        <x:v>1</x:v>
      </x:c>
      <x:c r="C14" s="14" t="n">
        <x:f>B14/$B$6</x:f>
        <x:v>0.021739130434782608</x:v>
      </x:c>
      <x:c r="D14" t="str">
        <x:v>Provider rejected due to call limits</x:v>
      </x:c>
    </x:row>
    <x:row r="15">
      <x:c r="A15" t="str">
        <x:v>permission_error</x:v>
      </x:c>
      <x:c r="B15" t="n">
        <x:f>COUNTIF('Tool Calls'!K2:K47,A15)</x:f>
        <x:v>0</x:v>
      </x:c>
      <x:c r="C15" s="14" t="n">
        <x:f>B15/$B$6</x:f>
        <x:v>0</x:v>
      </x:c>
      <x:c r="D15" t="str">
        <x:v>Tool access was not permitted</x:v>
      </x:c>
    </x:row>
    <x:row r="16">
      <x:c r="A16" t="str">
        <x:v>provider_error</x:v>
      </x:c>
      <x:c r="B16" t="n">
        <x:f>COUNTIF('Tool Calls'!K2:K47,A16)</x:f>
        <x:v>0</x:v>
      </x:c>
      <x:c r="C16" s="14" t="n">
        <x:f>B16/$B$6</x:f>
        <x:v>0</x:v>
      </x:c>
      <x:c r="D16" t="str">
        <x:v>External tool/provider failed</x:v>
      </x:c>
    </x:row>
    <x:row r="17">
      <x:c r="A17" t="str">
        <x:v>No error</x:v>
      </x:c>
      <x:c r="B17" t="n">
        <x:f>COUNTIF('Tool Calls'!I2:I47,"yes")</x:f>
        <x:v>44</x:v>
      </x:c>
      <x:c r="C17" s="14" t="n">
        <x:f>B17/$B$6</x:f>
        <x:v>0.9565217391304348</x:v>
      </x:c>
      <x:c r="D17" t="str">
        <x:v>Successful call or clean execution</x:v>
      </x:c>
    </x:row>
    <x:row r="20">
      <x:c r="A20" s="31" t="str">
        <x:v>Synthetic tool-run data for testing agent observability, retries, failure handling, tool latency dashboards, and trace pipelines. No real tools were invoked to create these rows.</x:v>
      </x:c>
      <x:c r="B20" s="31"/>
      <x:c r="C20" s="31"/>
      <x:c r="D20" s="31"/>
      <x:c r="E20" s="31"/>
      <x:c r="F20" s="31"/>
      <x:c r="G20" s="31"/>
      <x:c r="H20" s="31"/>
    </x:row>
    <x:row r="21">
      <x:c r="A21" s="31"/>
      <x:c r="B21" s="31"/>
      <x:c r="C21" s="31"/>
      <x:c r="D21" s="31"/>
      <x:c r="E21" s="31"/>
      <x:c r="F21" s="31"/>
      <x:c r="G21" s="31"/>
      <x:c r="H21" s="31"/>
    </x:row>
    <x:row r="22">
      <x:c r="A22" s="31"/>
      <x:c r="B22" s="31"/>
      <x:c r="C22" s="31"/>
      <x:c r="D22" s="31"/>
      <x:c r="E22" s="31"/>
      <x:c r="F22" s="31"/>
      <x:c r="G22" s="31"/>
      <x:c r="H22" s="31"/>
    </x:row>
  </x:sheetData>
  <x:mergeCells>
    <x:mergeCell ref="A1:H1"/>
    <x:mergeCell ref="A20:H22"/>
  </x:mergeCells>
  <x:pageMargins left="0.7" right="0.7" top="0.75" bottom="0.75" header="0.3" footer="0.3"/>
  <x:drawing xmlns:r="http://schemas.openxmlformats.org/officeDocument/2006/relationships" r:id="Rd7b5c1e26fd34e0a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>
      <x:c r="A1" s="7" t="str">
        <x:v>Tool Run Simulation — Field Guide</x:v>
      </x:c>
      <x:c r="B1" s="7"/>
      <x:c r="C1" s="7"/>
      <x:c r="D1" s="7"/>
    </x:row>
    <x:row r="3">
      <x:c r="A3" s="7" t="str">
        <x:v>Field / Concept</x:v>
      </x:c>
      <x:c r="B3" s="7" t="str">
        <x:v>Meaning</x:v>
      </x:c>
    </x:row>
    <x:row r="4">
      <x:c r="A4" t="str">
        <x:v>Agent run</x:v>
      </x:c>
      <x:c r="B4" s="18" t="str">
        <x:v>One end-to-end user request handled by an agent.</x:v>
      </x:c>
    </x:row>
    <x:row r="5">
      <x:c r="A5" t="str">
        <x:v>Tool call</x:v>
      </x:c>
      <x:c r="B5" s="18" t="str">
        <x:v>One invocation of a tool inside an agent run.</x:v>
      </x:c>
    </x:row>
    <x:row r="6">
      <x:c r="A6" t="str">
        <x:v>Attempt</x:v>
      </x:c>
      <x:c r="B6" s="18" t="str">
        <x:v>1 for initial call; 2 for retry.</x:v>
      </x:c>
    </x:row>
    <x:row r="7">
      <x:c r="A7" t="str">
        <x:v>Arguments</x:v>
      </x:c>
      <x:c r="B7" s="18" t="str">
        <x:v>Synthetic summary of the parameters passed to the tool.</x:v>
      </x:c>
    </x:row>
    <x:row r="8">
      <x:c r="A8" t="str">
        <x:v>Latency</x:v>
      </x:c>
      <x:c r="B8" s="18" t="str">
        <x:v>Simulated tool execution time in milliseconds.</x:v>
      </x:c>
    </x:row>
    <x:row r="9">
      <x:c r="A9" t="str">
        <x:v>Error type</x:v>
      </x:c>
      <x:c r="B9" s="18" t="str">
        <x:v>Synthetic failure category when a tool call fails.</x:v>
      </x:c>
    </x:row>
    <x:row r="10">
      <x:c r="A10" t="str">
        <x:v>Output summary</x:v>
      </x:c>
      <x:c r="B10" s="18" t="str">
        <x:v>Short simulated representation of returned tool data.</x:v>
      </x:c>
    </x:row>
    <x:row r="11">
      <x:c r="A11" t="str">
        <x:v>Success ratio</x:v>
      </x:c>
      <x:c r="B11" s="18" t="str">
        <x:v>Share of tool calls in a run that succeeded.</x:v>
      </x:c>
    </x:row>
  </x:sheetData>
  <x:mergeCells>
    <x:mergeCell ref="A1:D1"/>
  </x:mergeCells>
  <x:pageMargins left="0.7" right="0.7" top="0.75" bottom="0.75" header="0.3" footer="0.3"/>
</x:worksheet>
</file>