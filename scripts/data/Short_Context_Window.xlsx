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0c379ff63d40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ext Events" sheetId="1" r:id="Rb12e01bbcf874c33"/>
    <x:sheet xmlns:r="http://schemas.openxmlformats.org/officeDocument/2006/relationships" name="Summary" sheetId="2" r:id="Ra164b1e6a9d640e0"/>
    <x:sheet xmlns:r="http://schemas.openxmlformats.org/officeDocument/2006/relationships" name="README" sheetId="3" r:id="R32119761265a42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0.0%"/>
    <x:numFmt numFmtId="202" formatCode="0.0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color rgb="FF37415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11827"/>
      </x:patternFill>
    </x:fill>
    <x:fill>
      <x:patternFill patternType="solid">
        <x:fgColor rgb="FFF3F4F6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ont>
        <x:b/>
        <x:color rgb="FF991B1B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e905928c0e41dc" /><Relationship Type="http://schemas.openxmlformats.org/officeDocument/2006/relationships/theme" Target="/xl/theme/theme1.xml" Id="R5afcc32644c244f0" /><Relationship Type="http://schemas.microsoft.com/office/2022/11/relationships/FeaturePropertyBag" Target="/xl/featurePropertyBag/featurePropertyBag.xml" Id="R7a67c4958d1648b1" /><Relationship Type="http://schemas.openxmlformats.org/officeDocument/2006/relationships/sharedStrings" Target="/xl/sharedStrings.xml" Id="R623a5f26c1fe4f91" /><Relationship Type="http://schemas.openxmlformats.org/officeDocument/2006/relationships/worksheet" Target="/xl/worksheets/sheet1.xml" Id="Rb12e01bbcf874c33" /><Relationship Type="http://schemas.openxmlformats.org/officeDocument/2006/relationships/worksheet" Target="/xl/worksheets/sheet2.xml" Id="Ra164b1e6a9d640e0" /><Relationship Type="http://schemas.openxmlformats.org/officeDocument/2006/relationships/worksheet" Target="/xl/worksheets/sheet3.xml" Id="R32119761265a42b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00cbc0348124eb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Requests by Mitigation Strategy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Requests</c:v>
          </c:tx>
          <c:cat>
            <c:strRef>
              <c:f>'Summary'!$D$4:$D$7</c:f>
              <c:strCache>
                <c:ptCount val="0"/>
              </c:strCache>
            </c:strRef>
          </c:cat>
          <c:val>
            <c:numRef>
              <c:f>'Summary'!$E$4:$E$7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00cbc0348124eb0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hortContextEvents" displayName="ShortContextEvents" ref="A1:U61" headerRowCount="1" totalsRowCount="0" totalsRowShown="0">
  <x:tableColumns count="21">
    <x:tableColumn id="1" name="timestamp"/>
    <x:tableColumn id="2" name="request_id"/>
    <x:tableColumn id="3" name="scenario"/>
    <x:tableColumn id="4" name="context_limit_tokens"/>
    <x:tableColumn id="5" name="reserved_output_tokens"/>
    <x:tableColumn id="6" name="requested_input_tokens"/>
    <x:tableColumn id="7" name="available_input_tokens"/>
    <x:tableColumn id="8" name="retained_input_tokens"/>
    <x:tableColumn id="9" name="dropped_tokens"/>
    <x:tableColumn id="10" name="truncated"/>
    <x:tableColumn id="11" name="mitigation_strategy"/>
    <x:tableColumn id="12" name="conversation_turns_before"/>
    <x:tableColumn id="13" name="turns_retained"/>
    <x:tableColumn id="14" name="memory_loss_pct"/>
    <x:tableColumn id="15" name="retrieval_used"/>
    <x:tableColumn id="16" name="summary_used"/>
    <x:tableColumn id="17" name="latency_ms"/>
    <x:tableColumn id="18" name="answer_quality_score"/>
    <x:tableColumn id="19" name="contradiction_detected"/>
    <x:tableColumn id="20" name="forgot_prior_instruction"/>
    <x:tableColumn id="21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7d8baeee4ad45c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ad9a0241b622484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24" hidden="0" customWidth="1"/>
    <x:col min="4" max="4" width="18" hidden="0" customWidth="1"/>
    <x:col min="5" max="5" width="20" hidden="0" customWidth="1"/>
    <x:col min="6" max="6" width="21" hidden="0" customWidth="1"/>
    <x:col min="7" max="7" width="20" hidden="0" customWidth="1"/>
    <x:col min="8" max="8" width="20" hidden="0" customWidth="1"/>
    <x:col min="9" max="9" width="15" hidden="0" customWidth="1"/>
    <x:col min="10" max="10" width="12" hidden="0" customWidth="1"/>
    <x:col min="11" max="11" width="21" hidden="0" customWidth="1"/>
    <x:col min="12" max="12" width="22" hidden="0" customWidth="1"/>
    <x:col min="13" max="13" width="15" hidden="0" customWidth="1"/>
    <x:col min="14" max="14" width="15" hidden="0" customWidth="1"/>
    <x:col min="15" max="15" width="14" hidden="0" customWidth="1"/>
    <x:col min="16" max="16" width="13" hidden="0" customWidth="1"/>
    <x:col min="17" max="17" width="13" hidden="0" customWidth="1"/>
    <x:col min="18" max="18" width="18" hidden="0" customWidth="1"/>
    <x:col min="19" max="19" width="20" hidden="0" customWidth="1"/>
    <x:col min="20" max="20" width="22" hidden="0" customWidth="1"/>
    <x:col min="21" max="21" width="12" hidden="0" customWidth="1"/>
  </x:cols>
  <x:sheetData>
    <x:row r="1">
      <x:c r="A1" s="7" t="str">
        <x:v>timestamp</x:v>
      </x:c>
      <x:c r="B1" s="7" t="str">
        <x:v>request_id</x:v>
      </x:c>
      <x:c r="C1" s="7" t="str">
        <x:v>scenario</x:v>
      </x:c>
      <x:c r="D1" s="7" t="str">
        <x:v>context_limit_tokens</x:v>
      </x:c>
      <x:c r="E1" s="7" t="str">
        <x:v>reserved_output_tokens</x:v>
      </x:c>
      <x:c r="F1" s="7" t="str">
        <x:v>requested_input_tokens</x:v>
      </x:c>
      <x:c r="G1" s="7" t="str">
        <x:v>available_input_tokens</x:v>
      </x:c>
      <x:c r="H1" s="7" t="str">
        <x:v>retained_input_tokens</x:v>
      </x:c>
      <x:c r="I1" s="7" t="str">
        <x:v>dropped_tokens</x:v>
      </x:c>
      <x:c r="J1" s="7" t="str">
        <x:v>truncated</x:v>
      </x:c>
      <x:c r="K1" s="7" t="str">
        <x:v>mitigation_strategy</x:v>
      </x:c>
      <x:c r="L1" s="7" t="str">
        <x:v>conversation_turns_before</x:v>
      </x:c>
      <x:c r="M1" s="7" t="str">
        <x:v>turns_retained</x:v>
      </x:c>
      <x:c r="N1" s="7" t="str">
        <x:v>memory_loss_pct</x:v>
      </x:c>
      <x:c r="O1" s="7" t="str">
        <x:v>retrieval_used</x:v>
      </x:c>
      <x:c r="P1" s="7" t="str">
        <x:v>summary_used</x:v>
      </x:c>
      <x:c r="Q1" s="7" t="str">
        <x:v>latency_ms</x:v>
      </x:c>
      <x:c r="R1" s="7" t="str">
        <x:v>answer_quality_score</x:v>
      </x:c>
      <x:c r="S1" s="7" t="str">
        <x:v>contradiction_detected</x:v>
      </x:c>
      <x:c r="T1" s="7" t="str">
        <x:v>forgot_prior_instruction</x:v>
      </x:c>
      <x:c r="U1" s="7" t="str">
        <x:v>status</x:v>
      </x:c>
    </x:row>
    <x:row r="2">
      <x:c r="A2" s="12" t="n">
        <x:v>46244</x:v>
      </x:c>
      <x:c r="B2" t="str">
        <x:v>req_26abf2bdbd</x:v>
      </x:c>
      <x:c r="C2" t="str">
        <x:v>document_qa</x:v>
      </x:c>
      <x:c r="D2" t="n">
        <x:v>4096</x:v>
      </x:c>
      <x:c r="E2" t="n">
        <x:v>768</x:v>
      </x:c>
      <x:c r="F2" t="n">
        <x:v>2435</x:v>
      </x:c>
      <x:c r="G2" t="n">
        <x:v>3328</x:v>
      </x:c>
      <x:c r="H2" t="n">
        <x:v>2435</x:v>
      </x:c>
      <x:c r="I2" t="n">
        <x:v>0</x:v>
      </x:c>
      <x:c r="J2" t="str">
        <x:v>no</x:v>
      </x:c>
      <x:c r="K2" t="str">
        <x:v>none</x:v>
      </x:c>
      <x:c r="L2" t="n">
        <x:v>23</x:v>
      </x:c>
      <x:c r="M2" t="n">
        <x:v>23</x:v>
      </x:c>
      <x:c r="N2" s="14" t="n">
        <x:v>0</x:v>
      </x:c>
      <x:c r="O2" t="str">
        <x:v>no</x:v>
      </x:c>
      <x:c r="P2" t="str">
        <x:v>no</x:v>
      </x:c>
      <x:c r="Q2" t="n">
        <x:v>1045</x:v>
      </x:c>
      <x:c r="R2" s="16" t="n">
        <x:v>0.865</x:v>
      </x:c>
      <x:c r="S2" t="str">
        <x:v>no</x:v>
      </x:c>
      <x:c r="T2" t="str">
        <x:v>no</x:v>
      </x:c>
      <x:c r="U2" t="str">
        <x:v>healthy</x:v>
      </x:c>
    </x:row>
    <x:row r="3">
      <x:c r="A3" s="12" t="n">
        <x:v>46244.001388888886</x:v>
      </x:c>
      <x:c r="B3" t="str">
        <x:v>req_30cf5bbf20</x:v>
      </x:c>
      <x:c r="C3" t="str">
        <x:v>customer_support_thread</x:v>
      </x:c>
      <x:c r="D3" t="n">
        <x:v>4096</x:v>
      </x:c>
      <x:c r="E3" t="n">
        <x:v>768</x:v>
      </x:c>
      <x:c r="F3" t="n">
        <x:v>4752</x:v>
      </x:c>
      <x:c r="G3" t="n">
        <x:v>3328</x:v>
      </x:c>
      <x:c r="H3" t="n">
        <x:v>3328</x:v>
      </x:c>
      <x:c r="I3" t="n">
        <x:v>1424</x:v>
      </x:c>
      <x:c r="J3" t="str">
        <x:v>yes</x:v>
      </x:c>
      <x:c r="K3" t="str">
        <x:v>truncate_oldest</x:v>
      </x:c>
      <x:c r="L3" t="n">
        <x:v>5</x:v>
      </x:c>
      <x:c r="M3" t="n">
        <x:v>3</x:v>
      </x:c>
      <x:c r="N3" s="14" t="n">
        <x:v>0.3</x:v>
      </x:c>
      <x:c r="O3" t="str">
        <x:v>no</x:v>
      </x:c>
      <x:c r="P3" t="str">
        <x:v>no</x:v>
      </x:c>
      <x:c r="Q3" t="n">
        <x:v>1001</x:v>
      </x:c>
      <x:c r="R3" s="16" t="n">
        <x:v>0.84</x:v>
      </x:c>
      <x:c r="S3" t="str">
        <x:v>no</x:v>
      </x:c>
      <x:c r="T3" t="str">
        <x:v>no</x:v>
      </x:c>
      <x:c r="U3" t="str">
        <x:v>healthy</x:v>
      </x:c>
    </x:row>
    <x:row r="4">
      <x:c r="A4" s="12" t="n">
        <x:v>46244.00277777778</x:v>
      </x:c>
      <x:c r="B4" t="str">
        <x:v>req_0e7ac33762</x:v>
      </x:c>
      <x:c r="C4" t="str">
        <x:v>agent_tool_run</x:v>
      </x:c>
      <x:c r="D4" t="n">
        <x:v>4096</x:v>
      </x:c>
      <x:c r="E4" t="n">
        <x:v>1024</x:v>
      </x:c>
      <x:c r="F4" t="n">
        <x:v>1706</x:v>
      </x:c>
      <x:c r="G4" t="n">
        <x:v>3072</x:v>
      </x:c>
      <x:c r="H4" t="n">
        <x:v>1706</x:v>
      </x:c>
      <x:c r="I4" t="n">
        <x:v>0</x:v>
      </x:c>
      <x:c r="J4" t="str">
        <x:v>no</x:v>
      </x:c>
      <x:c r="K4" t="str">
        <x:v>none</x:v>
      </x:c>
      <x:c r="L4" t="n">
        <x:v>21</x:v>
      </x:c>
      <x:c r="M4" t="n">
        <x:v>21</x:v>
      </x:c>
      <x:c r="N4" s="14" t="n">
        <x:v>0</x:v>
      </x:c>
      <x:c r="O4" t="str">
        <x:v>no</x:v>
      </x:c>
      <x:c r="P4" t="str">
        <x:v>no</x:v>
      </x:c>
      <x:c r="Q4" t="n">
        <x:v>899</x:v>
      </x:c>
      <x:c r="R4" s="16" t="n">
        <x:v>0.904</x:v>
      </x:c>
      <x:c r="S4" t="str">
        <x:v>no</x:v>
      </x:c>
      <x:c r="T4" t="str">
        <x:v>no</x:v>
      </x:c>
      <x:c r="U4" t="str">
        <x:v>healthy</x:v>
      </x:c>
    </x:row>
    <x:row r="5">
      <x:c r="A5" s="12" t="n">
        <x:v>46244.004166666666</x:v>
      </x:c>
      <x:c r="B5" t="str">
        <x:v>req_a923372235</x:v>
      </x:c>
      <x:c r="C5" t="str">
        <x:v>customer_support_thread</x:v>
      </x:c>
      <x:c r="D5" t="n">
        <x:v>4096</x:v>
      </x:c>
      <x:c r="E5" t="n">
        <x:v>768</x:v>
      </x:c>
      <x:c r="F5" t="n">
        <x:v>5876</x:v>
      </x:c>
      <x:c r="G5" t="n">
        <x:v>3328</x:v>
      </x:c>
      <x:c r="H5" t="n">
        <x:v>3328</x:v>
      </x:c>
      <x:c r="I5" t="n">
        <x:v>2548</x:v>
      </x:c>
      <x:c r="J5" t="str">
        <x:v>yes</x:v>
      </x:c>
      <x:c r="K5" t="str">
        <x:v>summarize_history</x:v>
      </x:c>
      <x:c r="L5" t="n">
        <x:v>24</x:v>
      </x:c>
      <x:c r="M5" t="n">
        <x:v>13</x:v>
      </x:c>
      <x:c r="N5" s="14" t="n">
        <x:v>0.434</x:v>
      </x:c>
      <x:c r="O5" t="str">
        <x:v>no</x:v>
      </x:c>
      <x:c r="P5" t="str">
        <x:v>yes</x:v>
      </x:c>
      <x:c r="Q5" t="n">
        <x:v>1291</x:v>
      </x:c>
      <x:c r="R5" s="16" t="n">
        <x:v>0.779</x:v>
      </x:c>
      <x:c r="S5" t="str">
        <x:v>no</x:v>
      </x:c>
      <x:c r="T5" t="str">
        <x:v>no</x:v>
      </x:c>
      <x:c r="U5" t="str">
        <x:v>healthy</x:v>
      </x:c>
    </x:row>
    <x:row r="6">
      <x:c r="A6" s="12" t="n">
        <x:v>46244.00555555556</x:v>
      </x:c>
      <x:c r="B6" t="str">
        <x:v>req_577f89599f</x:v>
      </x:c>
      <x:c r="C6" t="str">
        <x:v>agent_tool_run</x:v>
      </x:c>
      <x:c r="D6" t="n">
        <x:v>4096</x:v>
      </x:c>
      <x:c r="E6" t="n">
        <x:v>512</x:v>
      </x:c>
      <x:c r="F6" t="n">
        <x:v>7033</x:v>
      </x:c>
      <x:c r="G6" t="n">
        <x:v>3584</x:v>
      </x:c>
      <x:c r="H6" t="n">
        <x:v>3584</x:v>
      </x:c>
      <x:c r="I6" t="n">
        <x:v>3449</x:v>
      </x:c>
      <x:c r="J6" t="str">
        <x:v>yes</x:v>
      </x:c>
      <x:c r="K6" t="str">
        <x:v>summarize_history</x:v>
      </x:c>
      <x:c r="L6" t="n">
        <x:v>22</x:v>
      </x:c>
      <x:c r="M6" t="n">
        <x:v>11</x:v>
      </x:c>
      <x:c r="N6" s="14" t="n">
        <x:v>0.49</x:v>
      </x:c>
      <x:c r="O6" t="str">
        <x:v>no</x:v>
      </x:c>
      <x:c r="P6" t="str">
        <x:v>yes</x:v>
      </x:c>
      <x:c r="Q6" t="n">
        <x:v>1133</x:v>
      </x:c>
      <x:c r="R6" s="16" t="n">
        <x:v>0.76</x:v>
      </x:c>
      <x:c r="S6" t="str">
        <x:v>no</x:v>
      </x:c>
      <x:c r="T6" t="str">
        <x:v>no</x:v>
      </x:c>
      <x:c r="U6" t="str">
        <x:v>healthy</x:v>
      </x:c>
    </x:row>
    <x:row r="7">
      <x:c r="A7" s="12" t="n">
        <x:v>46244.006944444445</x:v>
      </x:c>
      <x:c r="B7" t="str">
        <x:v>req_f2924abe71</x:v>
      </x:c>
      <x:c r="C7" t="str">
        <x:v>document_qa</x:v>
      </x:c>
      <x:c r="D7" t="n">
        <x:v>4096</x:v>
      </x:c>
      <x:c r="E7" t="n">
        <x:v>512</x:v>
      </x:c>
      <x:c r="F7" t="n">
        <x:v>3235</x:v>
      </x:c>
      <x:c r="G7" t="n">
        <x:v>3584</x:v>
      </x:c>
      <x:c r="H7" t="n">
        <x:v>3235</x:v>
      </x:c>
      <x:c r="I7" t="n">
        <x:v>0</x:v>
      </x:c>
      <x:c r="J7" t="str">
        <x:v>no</x:v>
      </x:c>
      <x:c r="K7" t="str">
        <x:v>none</x:v>
      </x:c>
      <x:c r="L7" t="n">
        <x:v>10</x:v>
      </x:c>
      <x:c r="M7" t="n">
        <x:v>10</x:v>
      </x:c>
      <x:c r="N7" s="14" t="n">
        <x:v>0</x:v>
      </x:c>
      <x:c r="O7" t="str">
        <x:v>no</x:v>
      </x:c>
      <x:c r="P7" t="str">
        <x:v>no</x:v>
      </x:c>
      <x:c r="Q7" t="n">
        <x:v>971</x:v>
      </x:c>
      <x:c r="R7" s="16" t="n">
        <x:v>0.869</x:v>
      </x:c>
      <x:c r="S7" t="str">
        <x:v>no</x:v>
      </x:c>
      <x:c r="T7" t="str">
        <x:v>no</x:v>
      </x:c>
      <x:c r="U7" t="str">
        <x:v>healthy</x:v>
      </x:c>
    </x:row>
    <x:row r="8">
      <x:c r="A8" s="12" t="n">
        <x:v>46244.00833333333</x:v>
      </x:c>
      <x:c r="B8" t="str">
        <x:v>req_25a88d01c9</x:v>
      </x:c>
      <x:c r="C8" t="str">
        <x:v>coding_assistant</x:v>
      </x:c>
      <x:c r="D8" t="n">
        <x:v>4096</x:v>
      </x:c>
      <x:c r="E8" t="n">
        <x:v>1024</x:v>
      </x:c>
      <x:c r="F8" t="n">
        <x:v>3558</x:v>
      </x:c>
      <x:c r="G8" t="n">
        <x:v>3072</x:v>
      </x:c>
      <x:c r="H8" t="n">
        <x:v>3072</x:v>
      </x:c>
      <x:c r="I8" t="n">
        <x:v>486</x:v>
      </x:c>
      <x:c r="J8" t="str">
        <x:v>yes</x:v>
      </x:c>
      <x:c r="K8" t="str">
        <x:v>retrieval_fallback</x:v>
      </x:c>
      <x:c r="L8" t="n">
        <x:v>6</x:v>
      </x:c>
      <x:c r="M8" t="n">
        <x:v>5</x:v>
      </x:c>
      <x:c r="N8" s="14" t="n">
        <x:v>0.137</x:v>
      </x:c>
      <x:c r="O8" t="str">
        <x:v>yes</x:v>
      </x:c>
      <x:c r="P8" t="str">
        <x:v>no</x:v>
      </x:c>
      <x:c r="Q8" t="n">
        <x:v>1005</x:v>
      </x:c>
      <x:c r="R8" s="16" t="n">
        <x:v>0.9</x:v>
      </x:c>
      <x:c r="S8" t="str">
        <x:v>no</x:v>
      </x:c>
      <x:c r="T8" t="str">
        <x:v>no</x:v>
      </x:c>
      <x:c r="U8" t="str">
        <x:v>healthy</x:v>
      </x:c>
    </x:row>
    <x:row r="9">
      <x:c r="A9" s="12" t="n">
        <x:v>46244.009722222225</x:v>
      </x:c>
      <x:c r="B9" t="str">
        <x:v>req_3f90606546</x:v>
      </x:c>
      <x:c r="C9" t="str">
        <x:v>customer_support_thread</x:v>
      </x:c>
      <x:c r="D9" t="n">
        <x:v>4096</x:v>
      </x:c>
      <x:c r="E9" t="n">
        <x:v>1024</x:v>
      </x:c>
      <x:c r="F9" t="n">
        <x:v>5771</x:v>
      </x:c>
      <x:c r="G9" t="n">
        <x:v>3072</x:v>
      </x:c>
      <x:c r="H9" t="n">
        <x:v>3072</x:v>
      </x:c>
      <x:c r="I9" t="n">
        <x:v>2699</x:v>
      </x:c>
      <x:c r="J9" t="str">
        <x:v>yes</x:v>
      </x:c>
      <x:c r="K9" t="str">
        <x:v>summarize_history</x:v>
      </x:c>
      <x:c r="L9" t="n">
        <x:v>13</x:v>
      </x:c>
      <x:c r="M9" t="n">
        <x:v>6</x:v>
      </x:c>
      <x:c r="N9" s="14" t="n">
        <x:v>0.468</x:v>
      </x:c>
      <x:c r="O9" t="str">
        <x:v>no</x:v>
      </x:c>
      <x:c r="P9" t="str">
        <x:v>yes</x:v>
      </x:c>
      <x:c r="Q9" t="n">
        <x:v>1350</x:v>
      </x:c>
      <x:c r="R9" s="16" t="n">
        <x:v>0.806</x:v>
      </x:c>
      <x:c r="S9" t="str">
        <x:v>no</x:v>
      </x:c>
      <x:c r="T9" t="str">
        <x:v>no</x:v>
      </x:c>
      <x:c r="U9" t="str">
        <x:v>healthy</x:v>
      </x:c>
    </x:row>
    <x:row r="10">
      <x:c r="A10" s="12" t="n">
        <x:v>46244.01111111111</x:v>
      </x:c>
      <x:c r="B10" t="str">
        <x:v>req_700dce4090</x:v>
      </x:c>
      <x:c r="C10" t="str">
        <x:v>customer_support_thread</x:v>
      </x:c>
      <x:c r="D10" t="n">
        <x:v>4096</x:v>
      </x:c>
      <x:c r="E10" t="n">
        <x:v>768</x:v>
      </x:c>
      <x:c r="F10" t="n">
        <x:v>1966</x:v>
      </x:c>
      <x:c r="G10" t="n">
        <x:v>3328</x:v>
      </x:c>
      <x:c r="H10" t="n">
        <x:v>1966</x:v>
      </x:c>
      <x:c r="I10" t="n">
        <x:v>0</x:v>
      </x:c>
      <x:c r="J10" t="str">
        <x:v>no</x:v>
      </x:c>
      <x:c r="K10" t="str">
        <x:v>none</x:v>
      </x:c>
      <x:c r="L10" t="n">
        <x:v>18</x:v>
      </x:c>
      <x:c r="M10" t="n">
        <x:v>18</x:v>
      </x:c>
      <x:c r="N10" s="14" t="n">
        <x:v>0</x:v>
      </x:c>
      <x:c r="O10" t="str">
        <x:v>no</x:v>
      </x:c>
      <x:c r="P10" t="str">
        <x:v>no</x:v>
      </x:c>
      <x:c r="Q10" t="n">
        <x:v>777</x:v>
      </x:c>
      <x:c r="R10" s="16" t="n">
        <x:v>0.937</x:v>
      </x:c>
      <x:c r="S10" t="str">
        <x:v>no</x:v>
      </x:c>
      <x:c r="T10" t="str">
        <x:v>no</x:v>
      </x:c>
      <x:c r="U10" t="str">
        <x:v>healthy</x:v>
      </x:c>
    </x:row>
    <x:row r="11">
      <x:c r="A11" s="12" t="n">
        <x:v>46244.0125</x:v>
      </x:c>
      <x:c r="B11" t="str">
        <x:v>req_74a5a0f0fc</x:v>
      </x:c>
      <x:c r="C11" t="str">
        <x:v>coding_assistant</x:v>
      </x:c>
      <x:c r="D11" t="n">
        <x:v>4096</x:v>
      </x:c>
      <x:c r="E11" t="n">
        <x:v>1024</x:v>
      </x:c>
      <x:c r="F11" t="n">
        <x:v>3531</x:v>
      </x:c>
      <x:c r="G11" t="n">
        <x:v>3072</x:v>
      </x:c>
      <x:c r="H11" t="n">
        <x:v>3072</x:v>
      </x:c>
      <x:c r="I11" t="n">
        <x:v>459</x:v>
      </x:c>
      <x:c r="J11" t="str">
        <x:v>yes</x:v>
      </x:c>
      <x:c r="K11" t="str">
        <x:v>truncate_oldest</x:v>
      </x:c>
      <x:c r="L11" t="n">
        <x:v>24</x:v>
      </x:c>
      <x:c r="M11" t="n">
        <x:v>20</x:v>
      </x:c>
      <x:c r="N11" s="14" t="n">
        <x:v>0.13</x:v>
      </x:c>
      <x:c r="O11" t="str">
        <x:v>no</x:v>
      </x:c>
      <x:c r="P11" t="str">
        <x:v>no</x:v>
      </x:c>
      <x:c r="Q11" t="n">
        <x:v>940</x:v>
      </x:c>
      <x:c r="R11" s="16" t="n">
        <x:v>0.829</x:v>
      </x:c>
      <x:c r="S11" t="str">
        <x:v>no</x:v>
      </x:c>
      <x:c r="T11" t="str">
        <x:v>no</x:v>
      </x:c>
      <x:c r="U11" t="str">
        <x:v>healthy</x:v>
      </x:c>
    </x:row>
    <x:row r="12">
      <x:c r="A12" s="12" t="n">
        <x:v>46244.01388888889</x:v>
      </x:c>
      <x:c r="B12" t="str">
        <x:v>req_d9efa7bd73</x:v>
      </x:c>
      <x:c r="C12" t="str">
        <x:v>coding_assistant</x:v>
      </x:c>
      <x:c r="D12" t="n">
        <x:v>4096</x:v>
      </x:c>
      <x:c r="E12" t="n">
        <x:v>512</x:v>
      </x:c>
      <x:c r="F12" t="n">
        <x:v>1682</x:v>
      </x:c>
      <x:c r="G12" t="n">
        <x:v>3584</x:v>
      </x:c>
      <x:c r="H12" t="n">
        <x:v>1682</x:v>
      </x:c>
      <x:c r="I12" t="n">
        <x:v>0</x:v>
      </x:c>
      <x:c r="J12" t="str">
        <x:v>no</x:v>
      </x:c>
      <x:c r="K12" t="str">
        <x:v>none</x:v>
      </x:c>
      <x:c r="L12" t="n">
        <x:v>12</x:v>
      </x:c>
      <x:c r="M12" t="n">
        <x:v>12</x:v>
      </x:c>
      <x:c r="N12" s="14" t="n">
        <x:v>0</x:v>
      </x:c>
      <x:c r="O12" t="str">
        <x:v>no</x:v>
      </x:c>
      <x:c r="P12" t="str">
        <x:v>no</x:v>
      </x:c>
      <x:c r="Q12" t="n">
        <x:v>1029</x:v>
      </x:c>
      <x:c r="R12" s="16" t="n">
        <x:v>0.874</x:v>
      </x:c>
      <x:c r="S12" t="str">
        <x:v>no</x:v>
      </x:c>
      <x:c r="T12" t="str">
        <x:v>no</x:v>
      </x:c>
      <x:c r="U12" t="str">
        <x:v>healthy</x:v>
      </x:c>
    </x:row>
    <x:row r="13">
      <x:c r="A13" s="12" t="n">
        <x:v>46244.01527777778</x:v>
      </x:c>
      <x:c r="B13" t="str">
        <x:v>req_ad5bf082ca</x:v>
      </x:c>
      <x:c r="C13" t="str">
        <x:v>agent_tool_run</x:v>
      </x:c>
      <x:c r="D13" t="n">
        <x:v>4096</x:v>
      </x:c>
      <x:c r="E13" t="n">
        <x:v>512</x:v>
      </x:c>
      <x:c r="F13" t="n">
        <x:v>3476</x:v>
      </x:c>
      <x:c r="G13" t="n">
        <x:v>3584</x:v>
      </x:c>
      <x:c r="H13" t="n">
        <x:v>3476</x:v>
      </x:c>
      <x:c r="I13" t="n">
        <x:v>0</x:v>
      </x:c>
      <x:c r="J13" t="str">
        <x:v>no</x:v>
      </x:c>
      <x:c r="K13" t="str">
        <x:v>none</x:v>
      </x:c>
      <x:c r="L13" t="n">
        <x:v>16</x:v>
      </x:c>
      <x:c r="M13" t="n">
        <x:v>16</x:v>
      </x:c>
      <x:c r="N13" s="14" t="n">
        <x:v>0</x:v>
      </x:c>
      <x:c r="O13" t="str">
        <x:v>no</x:v>
      </x:c>
      <x:c r="P13" t="str">
        <x:v>no</x:v>
      </x:c>
      <x:c r="Q13" t="n">
        <x:v>1121</x:v>
      </x:c>
      <x:c r="R13" s="16" t="n">
        <x:v>0.955</x:v>
      </x:c>
      <x:c r="S13" t="str">
        <x:v>no</x:v>
      </x:c>
      <x:c r="T13" t="str">
        <x:v>no</x:v>
      </x:c>
      <x:c r="U13" t="str">
        <x:v>healthy</x:v>
      </x:c>
    </x:row>
    <x:row r="14">
      <x:c r="A14" s="12" t="n">
        <x:v>46244.01666666667</x:v>
      </x:c>
      <x:c r="B14" t="str">
        <x:v>req_1b300ba064</x:v>
      </x:c>
      <x:c r="C14" t="str">
        <x:v>coding_assistant</x:v>
      </x:c>
      <x:c r="D14" t="n">
        <x:v>4096</x:v>
      </x:c>
      <x:c r="E14" t="n">
        <x:v>512</x:v>
      </x:c>
      <x:c r="F14" t="n">
        <x:v>3090</x:v>
      </x:c>
      <x:c r="G14" t="n">
        <x:v>3584</x:v>
      </x:c>
      <x:c r="H14" t="n">
        <x:v>3090</x:v>
      </x:c>
      <x:c r="I14" t="n">
        <x:v>0</x:v>
      </x:c>
      <x:c r="J14" t="str">
        <x:v>no</x:v>
      </x:c>
      <x:c r="K14" t="str">
        <x:v>none</x:v>
      </x:c>
      <x:c r="L14" t="n">
        <x:v>5</x:v>
      </x:c>
      <x:c r="M14" t="n">
        <x:v>5</x:v>
      </x:c>
      <x:c r="N14" s="14" t="n">
        <x:v>0</x:v>
      </x:c>
      <x:c r="O14" t="str">
        <x:v>no</x:v>
      </x:c>
      <x:c r="P14" t="str">
        <x:v>no</x:v>
      </x:c>
      <x:c r="Q14" t="n">
        <x:v>947</x:v>
      </x:c>
      <x:c r="R14" s="16" t="n">
        <x:v>0.879</x:v>
      </x:c>
      <x:c r="S14" t="str">
        <x:v>no</x:v>
      </x:c>
      <x:c r="T14" t="str">
        <x:v>no</x:v>
      </x:c>
      <x:c r="U14" t="str">
        <x:v>healthy</x:v>
      </x:c>
    </x:row>
    <x:row r="15">
      <x:c r="A15" s="12" t="n">
        <x:v>46244.018055555556</x:v>
      </x:c>
      <x:c r="B15" t="str">
        <x:v>req_ce5c291260</x:v>
      </x:c>
      <x:c r="C15" t="str">
        <x:v>customer_support_thread</x:v>
      </x:c>
      <x:c r="D15" t="n">
        <x:v>4096</x:v>
      </x:c>
      <x:c r="E15" t="n">
        <x:v>768</x:v>
      </x:c>
      <x:c r="F15" t="n">
        <x:v>2393</x:v>
      </x:c>
      <x:c r="G15" t="n">
        <x:v>3328</x:v>
      </x:c>
      <x:c r="H15" t="n">
        <x:v>2393</x:v>
      </x:c>
      <x:c r="I15" t="n">
        <x:v>0</x:v>
      </x:c>
      <x:c r="J15" t="str">
        <x:v>no</x:v>
      </x:c>
      <x:c r="K15" t="str">
        <x:v>none</x:v>
      </x:c>
      <x:c r="L15" t="n">
        <x:v>20</x:v>
      </x:c>
      <x:c r="M15" t="n">
        <x:v>20</x:v>
      </x:c>
      <x:c r="N15" s="14" t="n">
        <x:v>0</x:v>
      </x:c>
      <x:c r="O15" t="str">
        <x:v>no</x:v>
      </x:c>
      <x:c r="P15" t="str">
        <x:v>no</x:v>
      </x:c>
      <x:c r="Q15" t="n">
        <x:v>921</x:v>
      </x:c>
      <x:c r="R15" s="16" t="n">
        <x:v>0.901</x:v>
      </x:c>
      <x:c r="S15" t="str">
        <x:v>no</x:v>
      </x:c>
      <x:c r="T15" t="str">
        <x:v>no</x:v>
      </x:c>
      <x:c r="U15" t="str">
        <x:v>healthy</x:v>
      </x:c>
    </x:row>
    <x:row r="16">
      <x:c r="A16" s="12" t="n">
        <x:v>46244.01944444444</x:v>
      </x:c>
      <x:c r="B16" t="str">
        <x:v>req_36da96f0e7</x:v>
      </x:c>
      <x:c r="C16" t="str">
        <x:v>agent_tool_run</x:v>
      </x:c>
      <x:c r="D16" t="n">
        <x:v>4096</x:v>
      </x:c>
      <x:c r="E16" t="n">
        <x:v>1024</x:v>
      </x:c>
      <x:c r="F16" t="n">
        <x:v>6259</x:v>
      </x:c>
      <x:c r="G16" t="n">
        <x:v>3072</x:v>
      </x:c>
      <x:c r="H16" t="n">
        <x:v>3072</x:v>
      </x:c>
      <x:c r="I16" t="n">
        <x:v>3187</x:v>
      </x:c>
      <x:c r="J16" t="str">
        <x:v>yes</x:v>
      </x:c>
      <x:c r="K16" t="str">
        <x:v>summarize_history</x:v>
      </x:c>
      <x:c r="L16" t="n">
        <x:v>4</x:v>
      </x:c>
      <x:c r="M16" t="n">
        <x:v>1</x:v>
      </x:c>
      <x:c r="N16" s="14" t="n">
        <x:v>0.509</x:v>
      </x:c>
      <x:c r="O16" t="str">
        <x:v>no</x:v>
      </x:c>
      <x:c r="P16" t="str">
        <x:v>yes</x:v>
      </x:c>
      <x:c r="Q16" t="n">
        <x:v>1093</x:v>
      </x:c>
      <x:c r="R16" s="16" t="n">
        <x:v>0.767</x:v>
      </x:c>
      <x:c r="S16" t="str">
        <x:v>no</x:v>
      </x:c>
      <x:c r="T16" t="str">
        <x:v>no</x:v>
      </x:c>
      <x:c r="U16" t="str">
        <x:v>healthy</x:v>
      </x:c>
    </x:row>
    <x:row r="17">
      <x:c r="A17" s="12" t="n">
        <x:v>46244.020833333336</x:v>
      </x:c>
      <x:c r="B17" t="str">
        <x:v>req_09b9591304</x:v>
      </x:c>
      <x:c r="C17" t="str">
        <x:v>coding_assistant</x:v>
      </x:c>
      <x:c r="D17" t="n">
        <x:v>4096</x:v>
      </x:c>
      <x:c r="E17" t="n">
        <x:v>768</x:v>
      </x:c>
      <x:c r="F17" t="n">
        <x:v>2048</x:v>
      </x:c>
      <x:c r="G17" t="n">
        <x:v>3328</x:v>
      </x:c>
      <x:c r="H17" t="n">
        <x:v>2048</x:v>
      </x:c>
      <x:c r="I17" t="n">
        <x:v>0</x:v>
      </x:c>
      <x:c r="J17" t="str">
        <x:v>no</x:v>
      </x:c>
      <x:c r="K17" t="str">
        <x:v>none</x:v>
      </x:c>
      <x:c r="L17" t="n">
        <x:v>23</x:v>
      </x:c>
      <x:c r="M17" t="n">
        <x:v>23</x:v>
      </x:c>
      <x:c r="N17" s="14" t="n">
        <x:v>0</x:v>
      </x:c>
      <x:c r="O17" t="str">
        <x:v>no</x:v>
      </x:c>
      <x:c r="P17" t="str">
        <x:v>no</x:v>
      </x:c>
      <x:c r="Q17" t="n">
        <x:v>899</x:v>
      </x:c>
      <x:c r="R17" s="16" t="n">
        <x:v>0.904</x:v>
      </x:c>
      <x:c r="S17" t="str">
        <x:v>no</x:v>
      </x:c>
      <x:c r="T17" t="str">
        <x:v>no</x:v>
      </x:c>
      <x:c r="U17" t="str">
        <x:v>healthy</x:v>
      </x:c>
    </x:row>
    <x:row r="18">
      <x:c r="A18" s="12" t="n">
        <x:v>46244.02222222222</x:v>
      </x:c>
      <x:c r="B18" t="str">
        <x:v>req_0af58a2eb0</x:v>
      </x:c>
      <x:c r="C18" t="str">
        <x:v>customer_support_thread</x:v>
      </x:c>
      <x:c r="D18" t="n">
        <x:v>4096</x:v>
      </x:c>
      <x:c r="E18" t="n">
        <x:v>1024</x:v>
      </x:c>
      <x:c r="F18" t="n">
        <x:v>3985</x:v>
      </x:c>
      <x:c r="G18" t="n">
        <x:v>3072</x:v>
      </x:c>
      <x:c r="H18" t="n">
        <x:v>3072</x:v>
      </x:c>
      <x:c r="I18" t="n">
        <x:v>913</x:v>
      </x:c>
      <x:c r="J18" t="str">
        <x:v>yes</x:v>
      </x:c>
      <x:c r="K18" t="str">
        <x:v>truncate_oldest</x:v>
      </x:c>
      <x:c r="L18" t="n">
        <x:v>3</x:v>
      </x:c>
      <x:c r="M18" t="n">
        <x:v>2</x:v>
      </x:c>
      <x:c r="N18" s="14" t="n">
        <x:v>0.229</x:v>
      </x:c>
      <x:c r="O18" t="str">
        <x:v>no</x:v>
      </x:c>
      <x:c r="P18" t="str">
        <x:v>no</x:v>
      </x:c>
      <x:c r="Q18" t="n">
        <x:v>1099</x:v>
      </x:c>
      <x:c r="R18" s="16" t="n">
        <x:v>0.828</x:v>
      </x:c>
      <x:c r="S18" t="str">
        <x:v>no</x:v>
      </x:c>
      <x:c r="T18" t="str">
        <x:v>no</x:v>
      </x:c>
      <x:c r="U18" t="str">
        <x:v>healthy</x:v>
      </x:c>
    </x:row>
    <x:row r="19">
      <x:c r="A19" s="12" t="n">
        <x:v>46244.02361111111</x:v>
      </x:c>
      <x:c r="B19" t="str">
        <x:v>req_61384d843c</x:v>
      </x:c>
      <x:c r="C19" t="str">
        <x:v>coding_assistant</x:v>
      </x:c>
      <x:c r="D19" t="n">
        <x:v>4096</x:v>
      </x:c>
      <x:c r="E19" t="n">
        <x:v>1024</x:v>
      </x:c>
      <x:c r="F19" t="n">
        <x:v>2416</x:v>
      </x:c>
      <x:c r="G19" t="n">
        <x:v>3072</x:v>
      </x:c>
      <x:c r="H19" t="n">
        <x:v>2416</x:v>
      </x:c>
      <x:c r="I19" t="n">
        <x:v>0</x:v>
      </x:c>
      <x:c r="J19" t="str">
        <x:v>no</x:v>
      </x:c>
      <x:c r="K19" t="str">
        <x:v>none</x:v>
      </x:c>
      <x:c r="L19" t="n">
        <x:v>11</x:v>
      </x:c>
      <x:c r="M19" t="n">
        <x:v>11</x:v>
      </x:c>
      <x:c r="N19" s="14" t="n">
        <x:v>0</x:v>
      </x:c>
      <x:c r="O19" t="str">
        <x:v>no</x:v>
      </x:c>
      <x:c r="P19" t="str">
        <x:v>no</x:v>
      </x:c>
      <x:c r="Q19" t="n">
        <x:v>1008</x:v>
      </x:c>
      <x:c r="R19" s="16" t="n">
        <x:v>0.965</x:v>
      </x:c>
      <x:c r="S19" t="str">
        <x:v>no</x:v>
      </x:c>
      <x:c r="T19" t="str">
        <x:v>no</x:v>
      </x:c>
      <x:c r="U19" t="str">
        <x:v>healthy</x:v>
      </x:c>
    </x:row>
    <x:row r="20">
      <x:c r="A20" s="12" t="n">
        <x:v>46244.025</x:v>
      </x:c>
      <x:c r="B20" t="str">
        <x:v>req_263d2261e0</x:v>
      </x:c>
      <x:c r="C20" t="str">
        <x:v>coding_assistant</x:v>
      </x:c>
      <x:c r="D20" t="n">
        <x:v>4096</x:v>
      </x:c>
      <x:c r="E20" t="n">
        <x:v>768</x:v>
      </x:c>
      <x:c r="F20" t="n">
        <x:v>5017</x:v>
      </x:c>
      <x:c r="G20" t="n">
        <x:v>3328</x:v>
      </x:c>
      <x:c r="H20" t="n">
        <x:v>3328</x:v>
      </x:c>
      <x:c r="I20" t="n">
        <x:v>1689</x:v>
      </x:c>
      <x:c r="J20" t="str">
        <x:v>yes</x:v>
      </x:c>
      <x:c r="K20" t="str">
        <x:v>truncate_oldest</x:v>
      </x:c>
      <x:c r="L20" t="n">
        <x:v>5</x:v>
      </x:c>
      <x:c r="M20" t="n">
        <x:v>3</x:v>
      </x:c>
      <x:c r="N20" s="14" t="n">
        <x:v>0.337</x:v>
      </x:c>
      <x:c r="O20" t="str">
        <x:v>no</x:v>
      </x:c>
      <x:c r="P20" t="str">
        <x:v>no</x:v>
      </x:c>
      <x:c r="Q20" t="n">
        <x:v>994</x:v>
      </x:c>
      <x:c r="R20" s="16" t="n">
        <x:v>0.716</x:v>
      </x:c>
      <x:c r="S20" t="str">
        <x:v>no</x:v>
      </x:c>
      <x:c r="T20" t="str">
        <x:v>no</x:v>
      </x:c>
      <x:c r="U20" t="str">
        <x:v>degraded</x:v>
      </x:c>
    </x:row>
    <x:row r="21">
      <x:c r="A21" s="12" t="n">
        <x:v>46244.02638888889</x:v>
      </x:c>
      <x:c r="B21" t="str">
        <x:v>req_7a0d803ece</x:v>
      </x:c>
      <x:c r="C21" t="str">
        <x:v>multi_turn_assistant</x:v>
      </x:c>
      <x:c r="D21" t="n">
        <x:v>4096</x:v>
      </x:c>
      <x:c r="E21" t="n">
        <x:v>768</x:v>
      </x:c>
      <x:c r="F21" t="n">
        <x:v>5527</x:v>
      </x:c>
      <x:c r="G21" t="n">
        <x:v>3328</x:v>
      </x:c>
      <x:c r="H21" t="n">
        <x:v>3328</x:v>
      </x:c>
      <x:c r="I21" t="n">
        <x:v>2199</x:v>
      </x:c>
      <x:c r="J21" t="str">
        <x:v>yes</x:v>
      </x:c>
      <x:c r="K21" t="str">
        <x:v>truncate_oldest</x:v>
      </x:c>
      <x:c r="L21" t="n">
        <x:v>20</x:v>
      </x:c>
      <x:c r="M21" t="n">
        <x:v>12</x:v>
      </x:c>
      <x:c r="N21" s="14" t="n">
        <x:v>0.398</x:v>
      </x:c>
      <x:c r="O21" t="str">
        <x:v>no</x:v>
      </x:c>
      <x:c r="P21" t="str">
        <x:v>no</x:v>
      </x:c>
      <x:c r="Q21" t="n">
        <x:v>911</x:v>
      </x:c>
      <x:c r="R21" s="16" t="n">
        <x:v>0.771</x:v>
      </x:c>
      <x:c r="S21" t="str">
        <x:v>no</x:v>
      </x:c>
      <x:c r="T21" t="str">
        <x:v>no</x:v>
      </x:c>
      <x:c r="U21" t="str">
        <x:v>healthy</x:v>
      </x:c>
    </x:row>
    <x:row r="22">
      <x:c r="A22" s="12" t="n">
        <x:v>46244.02777777778</x:v>
      </x:c>
      <x:c r="B22" t="str">
        <x:v>req_12a175aa8f</x:v>
      </x:c>
      <x:c r="C22" t="str">
        <x:v>customer_support_thread</x:v>
      </x:c>
      <x:c r="D22" t="n">
        <x:v>4096</x:v>
      </x:c>
      <x:c r="E22" t="n">
        <x:v>768</x:v>
      </x:c>
      <x:c r="F22" t="n">
        <x:v>6903</x:v>
      </x:c>
      <x:c r="G22" t="n">
        <x:v>3328</x:v>
      </x:c>
      <x:c r="H22" t="n">
        <x:v>3328</x:v>
      </x:c>
      <x:c r="I22" t="n">
        <x:v>3575</x:v>
      </x:c>
      <x:c r="J22" t="str">
        <x:v>yes</x:v>
      </x:c>
      <x:c r="K22" t="str">
        <x:v>summarize_history</x:v>
      </x:c>
      <x:c r="L22" t="n">
        <x:v>8</x:v>
      </x:c>
      <x:c r="M22" t="n">
        <x:v>3</x:v>
      </x:c>
      <x:c r="N22" s="14" t="n">
        <x:v>0.518</x:v>
      </x:c>
      <x:c r="O22" t="str">
        <x:v>no</x:v>
      </x:c>
      <x:c r="P22" t="str">
        <x:v>yes</x:v>
      </x:c>
      <x:c r="Q22" t="n">
        <x:v>1117</x:v>
      </x:c>
      <x:c r="R22" s="16" t="n">
        <x:v>0.809</x:v>
      </x:c>
      <x:c r="S22" t="str">
        <x:v>no</x:v>
      </x:c>
      <x:c r="T22" t="str">
        <x:v>no</x:v>
      </x:c>
      <x:c r="U22" t="str">
        <x:v>healthy</x:v>
      </x:c>
    </x:row>
    <x:row r="23">
      <x:c r="A23" s="12" t="n">
        <x:v>46244.02916666667</x:v>
      </x:c>
      <x:c r="B23" t="str">
        <x:v>req_dcf42da02b</x:v>
      </x:c>
      <x:c r="C23" t="str">
        <x:v>multi_turn_assistant</x:v>
      </x:c>
      <x:c r="D23" t="n">
        <x:v>4096</x:v>
      </x:c>
      <x:c r="E23" t="n">
        <x:v>768</x:v>
      </x:c>
      <x:c r="F23" t="n">
        <x:v>3161</x:v>
      </x:c>
      <x:c r="G23" t="n">
        <x:v>3328</x:v>
      </x:c>
      <x:c r="H23" t="n">
        <x:v>3161</x:v>
      </x:c>
      <x:c r="I23" t="n">
        <x:v>0</x:v>
      </x:c>
      <x:c r="J23" t="str">
        <x:v>no</x:v>
      </x:c>
      <x:c r="K23" t="str">
        <x:v>none</x:v>
      </x:c>
      <x:c r="L23" t="n">
        <x:v>10</x:v>
      </x:c>
      <x:c r="M23" t="n">
        <x:v>10</x:v>
      </x:c>
      <x:c r="N23" s="14" t="n">
        <x:v>0</x:v>
      </x:c>
      <x:c r="O23" t="str">
        <x:v>no</x:v>
      </x:c>
      <x:c r="P23" t="str">
        <x:v>no</x:v>
      </x:c>
      <x:c r="Q23" t="n">
        <x:v>907</x:v>
      </x:c>
      <x:c r="R23" s="16" t="n">
        <x:v>0.882</x:v>
      </x:c>
      <x:c r="S23" t="str">
        <x:v>no</x:v>
      </x:c>
      <x:c r="T23" t="str">
        <x:v>no</x:v>
      </x:c>
      <x:c r="U23" t="str">
        <x:v>healthy</x:v>
      </x:c>
    </x:row>
    <x:row r="24">
      <x:c r="A24" s="12" t="n">
        <x:v>46244.03055555555</x:v>
      </x:c>
      <x:c r="B24" t="str">
        <x:v>req_7df902e95b</x:v>
      </x:c>
      <x:c r="C24" t="str">
        <x:v>document_qa</x:v>
      </x:c>
      <x:c r="D24" t="n">
        <x:v>4096</x:v>
      </x:c>
      <x:c r="E24" t="n">
        <x:v>768</x:v>
      </x:c>
      <x:c r="F24" t="n">
        <x:v>5068</x:v>
      </x:c>
      <x:c r="G24" t="n">
        <x:v>3328</x:v>
      </x:c>
      <x:c r="H24" t="n">
        <x:v>3328</x:v>
      </x:c>
      <x:c r="I24" t="n">
        <x:v>1740</x:v>
      </x:c>
      <x:c r="J24" t="str">
        <x:v>yes</x:v>
      </x:c>
      <x:c r="K24" t="str">
        <x:v>truncate_oldest</x:v>
      </x:c>
      <x:c r="L24" t="n">
        <x:v>22</x:v>
      </x:c>
      <x:c r="M24" t="n">
        <x:v>14</x:v>
      </x:c>
      <x:c r="N24" s="14" t="n">
        <x:v>0.343</x:v>
      </x:c>
      <x:c r="O24" t="str">
        <x:v>no</x:v>
      </x:c>
      <x:c r="P24" t="str">
        <x:v>no</x:v>
      </x:c>
      <x:c r="Q24" t="n">
        <x:v>1155</x:v>
      </x:c>
      <x:c r="R24" s="16" t="n">
        <x:v>0.833</x:v>
      </x:c>
      <x:c r="S24" t="str">
        <x:v>no</x:v>
      </x:c>
      <x:c r="T24" t="str">
        <x:v>no</x:v>
      </x:c>
      <x:c r="U24" t="str">
        <x:v>healthy</x:v>
      </x:c>
    </x:row>
    <x:row r="25">
      <x:c r="A25" s="12" t="n">
        <x:v>46244.03194444445</x:v>
      </x:c>
      <x:c r="B25" t="str">
        <x:v>req_f6611710f4</x:v>
      </x:c>
      <x:c r="C25" t="str">
        <x:v>multi_turn_assistant</x:v>
      </x:c>
      <x:c r="D25" t="n">
        <x:v>4096</x:v>
      </x:c>
      <x:c r="E25" t="n">
        <x:v>512</x:v>
      </x:c>
      <x:c r="F25" t="n">
        <x:v>2036</x:v>
      </x:c>
      <x:c r="G25" t="n">
        <x:v>3584</x:v>
      </x:c>
      <x:c r="H25" t="n">
        <x:v>2036</x:v>
      </x:c>
      <x:c r="I25" t="n">
        <x:v>0</x:v>
      </x:c>
      <x:c r="J25" t="str">
        <x:v>no</x:v>
      </x:c>
      <x:c r="K25" t="str">
        <x:v>none</x:v>
      </x:c>
      <x:c r="L25" t="n">
        <x:v>18</x:v>
      </x:c>
      <x:c r="M25" t="n">
        <x:v>18</x:v>
      </x:c>
      <x:c r="N25" s="14" t="n">
        <x:v>0</x:v>
      </x:c>
      <x:c r="O25" t="str">
        <x:v>no</x:v>
      </x:c>
      <x:c r="P25" t="str">
        <x:v>no</x:v>
      </x:c>
      <x:c r="Q25" t="n">
        <x:v>910</x:v>
      </x:c>
      <x:c r="R25" s="16" t="n">
        <x:v>0.882</x:v>
      </x:c>
      <x:c r="S25" t="str">
        <x:v>no</x:v>
      </x:c>
      <x:c r="T25" t="str">
        <x:v>no</x:v>
      </x:c>
      <x:c r="U25" t="str">
        <x:v>healthy</x:v>
      </x:c>
    </x:row>
    <x:row r="26">
      <x:c r="A26" s="12" t="n">
        <x:v>46244.03333333333</x:v>
      </x:c>
      <x:c r="B26" t="str">
        <x:v>req_085fd735f2</x:v>
      </x:c>
      <x:c r="C26" t="str">
        <x:v>customer_support_thread</x:v>
      </x:c>
      <x:c r="D26" t="n">
        <x:v>4096</x:v>
      </x:c>
      <x:c r="E26" t="n">
        <x:v>1024</x:v>
      </x:c>
      <x:c r="F26" t="n">
        <x:v>5127</x:v>
      </x:c>
      <x:c r="G26" t="n">
        <x:v>3072</x:v>
      </x:c>
      <x:c r="H26" t="n">
        <x:v>3072</x:v>
      </x:c>
      <x:c r="I26" t="n">
        <x:v>2055</x:v>
      </x:c>
      <x:c r="J26" t="str">
        <x:v>yes</x:v>
      </x:c>
      <x:c r="K26" t="str">
        <x:v>truncate_oldest</x:v>
      </x:c>
      <x:c r="L26" t="n">
        <x:v>23</x:v>
      </x:c>
      <x:c r="M26" t="n">
        <x:v>13</x:v>
      </x:c>
      <x:c r="N26" s="14" t="n">
        <x:v>0.401</x:v>
      </x:c>
      <x:c r="O26" t="str">
        <x:v>no</x:v>
      </x:c>
      <x:c r="P26" t="str">
        <x:v>no</x:v>
      </x:c>
      <x:c r="Q26" t="n">
        <x:v>1025</x:v>
      </x:c>
      <x:c r="R26" s="16" t="n">
        <x:v>0.69</x:v>
      </x:c>
      <x:c r="S26" t="str">
        <x:v>no</x:v>
      </x:c>
      <x:c r="T26" t="str">
        <x:v>no</x:v>
      </x:c>
      <x:c r="U26" t="str">
        <x:v>degraded</x:v>
      </x:c>
    </x:row>
    <x:row r="27">
      <x:c r="A27" s="12" t="n">
        <x:v>46244.03472222222</x:v>
      </x:c>
      <x:c r="B27" t="str">
        <x:v>req_1585b85bde</x:v>
      </x:c>
      <x:c r="C27" t="str">
        <x:v>multi_turn_assistant</x:v>
      </x:c>
      <x:c r="D27" t="n">
        <x:v>4096</x:v>
      </x:c>
      <x:c r="E27" t="n">
        <x:v>1024</x:v>
      </x:c>
      <x:c r="F27" t="n">
        <x:v>4754</x:v>
      </x:c>
      <x:c r="G27" t="n">
        <x:v>3072</x:v>
      </x:c>
      <x:c r="H27" t="n">
        <x:v>3072</x:v>
      </x:c>
      <x:c r="I27" t="n">
        <x:v>1682</x:v>
      </x:c>
      <x:c r="J27" t="str">
        <x:v>yes</x:v>
      </x:c>
      <x:c r="K27" t="str">
        <x:v>truncate_oldest</x:v>
      </x:c>
      <x:c r="L27" t="n">
        <x:v>15</x:v>
      </x:c>
      <x:c r="M27" t="n">
        <x:v>9</x:v>
      </x:c>
      <x:c r="N27" s="14" t="n">
        <x:v>0.354</x:v>
      </x:c>
      <x:c r="O27" t="str">
        <x:v>no</x:v>
      </x:c>
      <x:c r="P27" t="str">
        <x:v>no</x:v>
      </x:c>
      <x:c r="Q27" t="n">
        <x:v>888</x:v>
      </x:c>
      <x:c r="R27" s="16" t="n">
        <x:v>0.744</x:v>
      </x:c>
      <x:c r="S27" t="str">
        <x:v>yes</x:v>
      </x:c>
      <x:c r="T27" t="str">
        <x:v>no</x:v>
      </x:c>
      <x:c r="U27" t="str">
        <x:v>degraded</x:v>
      </x:c>
    </x:row>
    <x:row r="28">
      <x:c r="A28" s="12" t="n">
        <x:v>46244.03611111111</x:v>
      </x:c>
      <x:c r="B28" t="str">
        <x:v>req_30917660b6</x:v>
      </x:c>
      <x:c r="C28" t="str">
        <x:v>multi_turn_assistant</x:v>
      </x:c>
      <x:c r="D28" t="n">
        <x:v>4096</x:v>
      </x:c>
      <x:c r="E28" t="n">
        <x:v>512</x:v>
      </x:c>
      <x:c r="F28" t="n">
        <x:v>1425</x:v>
      </x:c>
      <x:c r="G28" t="n">
        <x:v>3584</x:v>
      </x:c>
      <x:c r="H28" t="n">
        <x:v>1425</x:v>
      </x:c>
      <x:c r="I28" t="n">
        <x:v>0</x:v>
      </x:c>
      <x:c r="J28" t="str">
        <x:v>no</x:v>
      </x:c>
      <x:c r="K28" t="str">
        <x:v>none</x:v>
      </x:c>
      <x:c r="L28" t="n">
        <x:v>21</x:v>
      </x:c>
      <x:c r="M28" t="n">
        <x:v>21</x:v>
      </x:c>
      <x:c r="N28" s="14" t="n">
        <x:v>0</x:v>
      </x:c>
      <x:c r="O28" t="str">
        <x:v>no</x:v>
      </x:c>
      <x:c r="P28" t="str">
        <x:v>no</x:v>
      </x:c>
      <x:c r="Q28" t="n">
        <x:v>1068</x:v>
      </x:c>
      <x:c r="R28" s="16" t="n">
        <x:v>0.96</x:v>
      </x:c>
      <x:c r="S28" t="str">
        <x:v>no</x:v>
      </x:c>
      <x:c r="T28" t="str">
        <x:v>no</x:v>
      </x:c>
      <x:c r="U28" t="str">
        <x:v>healthy</x:v>
      </x:c>
    </x:row>
    <x:row r="29">
      <x:c r="A29" s="12" t="n">
        <x:v>46244.0375</x:v>
      </x:c>
      <x:c r="B29" t="str">
        <x:v>req_fe6ac573dc</x:v>
      </x:c>
      <x:c r="C29" t="str">
        <x:v>document_qa</x:v>
      </x:c>
      <x:c r="D29" t="n">
        <x:v>4096</x:v>
      </x:c>
      <x:c r="E29" t="n">
        <x:v>1024</x:v>
      </x:c>
      <x:c r="F29" t="n">
        <x:v>2477</x:v>
      </x:c>
      <x:c r="G29" t="n">
        <x:v>3072</x:v>
      </x:c>
      <x:c r="H29" t="n">
        <x:v>2477</x:v>
      </x:c>
      <x:c r="I29" t="n">
        <x:v>0</x:v>
      </x:c>
      <x:c r="J29" t="str">
        <x:v>no</x:v>
      </x:c>
      <x:c r="K29" t="str">
        <x:v>none</x:v>
      </x:c>
      <x:c r="L29" t="n">
        <x:v>20</x:v>
      </x:c>
      <x:c r="M29" t="n">
        <x:v>20</x:v>
      </x:c>
      <x:c r="N29" s="14" t="n">
        <x:v>0</x:v>
      </x:c>
      <x:c r="O29" t="str">
        <x:v>no</x:v>
      </x:c>
      <x:c r="P29" t="str">
        <x:v>no</x:v>
      </x:c>
      <x:c r="Q29" t="n">
        <x:v>956</x:v>
      </x:c>
      <x:c r="R29" s="16" t="n">
        <x:v>0.874</x:v>
      </x:c>
      <x:c r="S29" t="str">
        <x:v>no</x:v>
      </x:c>
      <x:c r="T29" t="str">
        <x:v>no</x:v>
      </x:c>
      <x:c r="U29" t="str">
        <x:v>healthy</x:v>
      </x:c>
    </x:row>
    <x:row r="30">
      <x:c r="A30" s="12" t="n">
        <x:v>46244.03888888889</x:v>
      </x:c>
      <x:c r="B30" t="str">
        <x:v>req_83dd18433d</x:v>
      </x:c>
      <x:c r="C30" t="str">
        <x:v>agent_tool_run</x:v>
      </x:c>
      <x:c r="D30" t="n">
        <x:v>4096</x:v>
      </x:c>
      <x:c r="E30" t="n">
        <x:v>768</x:v>
      </x:c>
      <x:c r="F30" t="n">
        <x:v>2340</x:v>
      </x:c>
      <x:c r="G30" t="n">
        <x:v>3328</x:v>
      </x:c>
      <x:c r="H30" t="n">
        <x:v>2340</x:v>
      </x:c>
      <x:c r="I30" t="n">
        <x:v>0</x:v>
      </x:c>
      <x:c r="J30" t="str">
        <x:v>no</x:v>
      </x:c>
      <x:c r="K30" t="str">
        <x:v>none</x:v>
      </x:c>
      <x:c r="L30" t="n">
        <x:v>9</x:v>
      </x:c>
      <x:c r="M30" t="n">
        <x:v>9</x:v>
      </x:c>
      <x:c r="N30" s="14" t="n">
        <x:v>0</x:v>
      </x:c>
      <x:c r="O30" t="str">
        <x:v>no</x:v>
      </x:c>
      <x:c r="P30" t="str">
        <x:v>no</x:v>
      </x:c>
      <x:c r="Q30" t="n">
        <x:v>976</x:v>
      </x:c>
      <x:c r="R30" s="16" t="n">
        <x:v>0.951</x:v>
      </x:c>
      <x:c r="S30" t="str">
        <x:v>no</x:v>
      </x:c>
      <x:c r="T30" t="str">
        <x:v>no</x:v>
      </x:c>
      <x:c r="U30" t="str">
        <x:v>healthy</x:v>
      </x:c>
    </x:row>
    <x:row r="31">
      <x:c r="A31" s="12" t="n">
        <x:v>46244.04027777778</x:v>
      </x:c>
      <x:c r="B31" t="str">
        <x:v>req_2a42605b73</x:v>
      </x:c>
      <x:c r="C31" t="str">
        <x:v>document_qa</x:v>
      </x:c>
      <x:c r="D31" t="n">
        <x:v>4096</x:v>
      </x:c>
      <x:c r="E31" t="n">
        <x:v>768</x:v>
      </x:c>
      <x:c r="F31" t="n">
        <x:v>5659</x:v>
      </x:c>
      <x:c r="G31" t="n">
        <x:v>3328</x:v>
      </x:c>
      <x:c r="H31" t="n">
        <x:v>3328</x:v>
      </x:c>
      <x:c r="I31" t="n">
        <x:v>2331</x:v>
      </x:c>
      <x:c r="J31" t="str">
        <x:v>yes</x:v>
      </x:c>
      <x:c r="K31" t="str">
        <x:v>retrieval_fallback</x:v>
      </x:c>
      <x:c r="L31" t="n">
        <x:v>4</x:v>
      </x:c>
      <x:c r="M31" t="n">
        <x:v>2</x:v>
      </x:c>
      <x:c r="N31" s="14" t="n">
        <x:v>0.412</x:v>
      </x:c>
      <x:c r="O31" t="str">
        <x:v>yes</x:v>
      </x:c>
      <x:c r="P31" t="str">
        <x:v>no</x:v>
      </x:c>
      <x:c r="Q31" t="n">
        <x:v>1455</x:v>
      </x:c>
      <x:c r="R31" s="16" t="n">
        <x:v>0.901</x:v>
      </x:c>
      <x:c r="S31" t="str">
        <x:v>no</x:v>
      </x:c>
      <x:c r="T31" t="str">
        <x:v>no</x:v>
      </x:c>
      <x:c r="U31" t="str">
        <x:v>healthy</x:v>
      </x:c>
    </x:row>
    <x:row r="32">
      <x:c r="A32" s="12" t="n">
        <x:v>46244.041666666664</x:v>
      </x:c>
      <x:c r="B32" t="str">
        <x:v>req_6af4b2430e</x:v>
      </x:c>
      <x:c r="C32" t="str">
        <x:v>agent_tool_run</x:v>
      </x:c>
      <x:c r="D32" t="n">
        <x:v>4096</x:v>
      </x:c>
      <x:c r="E32" t="n">
        <x:v>1024</x:v>
      </x:c>
      <x:c r="F32" t="n">
        <x:v>4645</x:v>
      </x:c>
      <x:c r="G32" t="n">
        <x:v>3072</x:v>
      </x:c>
      <x:c r="H32" t="n">
        <x:v>3072</x:v>
      </x:c>
      <x:c r="I32" t="n">
        <x:v>1573</x:v>
      </x:c>
      <x:c r="J32" t="str">
        <x:v>yes</x:v>
      </x:c>
      <x:c r="K32" t="str">
        <x:v>truncate_oldest</x:v>
      </x:c>
      <x:c r="L32" t="n">
        <x:v>7</x:v>
      </x:c>
      <x:c r="M32" t="n">
        <x:v>4</x:v>
      </x:c>
      <x:c r="N32" s="14" t="n">
        <x:v>0.339</x:v>
      </x:c>
      <x:c r="O32" t="str">
        <x:v>no</x:v>
      </x:c>
      <x:c r="P32" t="str">
        <x:v>no</x:v>
      </x:c>
      <x:c r="Q32" t="n">
        <x:v>1240</x:v>
      </x:c>
      <x:c r="R32" s="16" t="n">
        <x:v>0.831</x:v>
      </x:c>
      <x:c r="S32" t="str">
        <x:v>no</x:v>
      </x:c>
      <x:c r="T32" t="str">
        <x:v>no</x:v>
      </x:c>
      <x:c r="U32" t="str">
        <x:v>healthy</x:v>
      </x:c>
    </x:row>
    <x:row r="33">
      <x:c r="A33" s="12" t="n">
        <x:v>46244.04305555556</x:v>
      </x:c>
      <x:c r="B33" t="str">
        <x:v>req_e05cc6e775</x:v>
      </x:c>
      <x:c r="C33" t="str">
        <x:v>multi_turn_assistant</x:v>
      </x:c>
      <x:c r="D33" t="n">
        <x:v>4096</x:v>
      </x:c>
      <x:c r="E33" t="n">
        <x:v>768</x:v>
      </x:c>
      <x:c r="F33" t="n">
        <x:v>2359</x:v>
      </x:c>
      <x:c r="G33" t="n">
        <x:v>3328</x:v>
      </x:c>
      <x:c r="H33" t="n">
        <x:v>2359</x:v>
      </x:c>
      <x:c r="I33" t="n">
        <x:v>0</x:v>
      </x:c>
      <x:c r="J33" t="str">
        <x:v>no</x:v>
      </x:c>
      <x:c r="K33" t="str">
        <x:v>none</x:v>
      </x:c>
      <x:c r="L33" t="n">
        <x:v>22</x:v>
      </x:c>
      <x:c r="M33" t="n">
        <x:v>22</x:v>
      </x:c>
      <x:c r="N33" s="14" t="n">
        <x:v>0</x:v>
      </x:c>
      <x:c r="O33" t="str">
        <x:v>no</x:v>
      </x:c>
      <x:c r="P33" t="str">
        <x:v>no</x:v>
      </x:c>
      <x:c r="Q33" t="n">
        <x:v>974</x:v>
      </x:c>
      <x:c r="R33" s="16" t="n">
        <x:v>0.94</x:v>
      </x:c>
      <x:c r="S33" t="str">
        <x:v>no</x:v>
      </x:c>
      <x:c r="T33" t="str">
        <x:v>no</x:v>
      </x:c>
      <x:c r="U33" t="str">
        <x:v>healthy</x:v>
      </x:c>
    </x:row>
    <x:row r="34">
      <x:c r="A34" s="12" t="n">
        <x:v>46244.044444444444</x:v>
      </x:c>
      <x:c r="B34" t="str">
        <x:v>req_69e27786ad</x:v>
      </x:c>
      <x:c r="C34" t="str">
        <x:v>agent_tool_run</x:v>
      </x:c>
      <x:c r="D34" t="n">
        <x:v>4096</x:v>
      </x:c>
      <x:c r="E34" t="n">
        <x:v>512</x:v>
      </x:c>
      <x:c r="F34" t="n">
        <x:v>5152</x:v>
      </x:c>
      <x:c r="G34" t="n">
        <x:v>3584</x:v>
      </x:c>
      <x:c r="H34" t="n">
        <x:v>3584</x:v>
      </x:c>
      <x:c r="I34" t="n">
        <x:v>1568</x:v>
      </x:c>
      <x:c r="J34" t="str">
        <x:v>yes</x:v>
      </x:c>
      <x:c r="K34" t="str">
        <x:v>retrieval_fallback</x:v>
      </x:c>
      <x:c r="L34" t="n">
        <x:v>4</x:v>
      </x:c>
      <x:c r="M34" t="n">
        <x:v>2</x:v>
      </x:c>
      <x:c r="N34" s="14" t="n">
        <x:v>0.304</x:v>
      </x:c>
      <x:c r="O34" t="str">
        <x:v>yes</x:v>
      </x:c>
      <x:c r="P34" t="str">
        <x:v>no</x:v>
      </x:c>
      <x:c r="Q34" t="n">
        <x:v>1129</x:v>
      </x:c>
      <x:c r="R34" s="16" t="n">
        <x:v>0.847</x:v>
      </x:c>
      <x:c r="S34" t="str">
        <x:v>no</x:v>
      </x:c>
      <x:c r="T34" t="str">
        <x:v>no</x:v>
      </x:c>
      <x:c r="U34" t="str">
        <x:v>healthy</x:v>
      </x:c>
    </x:row>
    <x:row r="35">
      <x:c r="A35" s="12" t="n">
        <x:v>46244.04583333333</x:v>
      </x:c>
      <x:c r="B35" t="str">
        <x:v>req_75e10ae756</x:v>
      </x:c>
      <x:c r="C35" t="str">
        <x:v>customer_support_thread</x:v>
      </x:c>
      <x:c r="D35" t="n">
        <x:v>4096</x:v>
      </x:c>
      <x:c r="E35" t="n">
        <x:v>768</x:v>
      </x:c>
      <x:c r="F35" t="n">
        <x:v>4831</x:v>
      </x:c>
      <x:c r="G35" t="n">
        <x:v>3328</x:v>
      </x:c>
      <x:c r="H35" t="n">
        <x:v>3328</x:v>
      </x:c>
      <x:c r="I35" t="n">
        <x:v>1503</x:v>
      </x:c>
      <x:c r="J35" t="str">
        <x:v>yes</x:v>
      </x:c>
      <x:c r="K35" t="str">
        <x:v>summarize_history</x:v>
      </x:c>
      <x:c r="L35" t="n">
        <x:v>19</x:v>
      </x:c>
      <x:c r="M35" t="n">
        <x:v>13</x:v>
      </x:c>
      <x:c r="N35" s="14" t="n">
        <x:v>0.311</x:v>
      </x:c>
      <x:c r="O35" t="str">
        <x:v>no</x:v>
      </x:c>
      <x:c r="P35" t="str">
        <x:v>yes</x:v>
      </x:c>
      <x:c r="Q35" t="n">
        <x:v>1149</x:v>
      </x:c>
      <x:c r="R35" s="16" t="n">
        <x:v>0.874</x:v>
      </x:c>
      <x:c r="S35" t="str">
        <x:v>no</x:v>
      </x:c>
      <x:c r="T35" t="str">
        <x:v>no</x:v>
      </x:c>
      <x:c r="U35" t="str">
        <x:v>healthy</x:v>
      </x:c>
    </x:row>
    <x:row r="36">
      <x:c r="A36" s="12" t="n">
        <x:v>46244.04722222222</x:v>
      </x:c>
      <x:c r="B36" t="str">
        <x:v>req_3ff6379633</x:v>
      </x:c>
      <x:c r="C36" t="str">
        <x:v>coding_assistant</x:v>
      </x:c>
      <x:c r="D36" t="n">
        <x:v>4096</x:v>
      </x:c>
      <x:c r="E36" t="n">
        <x:v>512</x:v>
      </x:c>
      <x:c r="F36" t="n">
        <x:v>5359</x:v>
      </x:c>
      <x:c r="G36" t="n">
        <x:v>3584</x:v>
      </x:c>
      <x:c r="H36" t="n">
        <x:v>3584</x:v>
      </x:c>
      <x:c r="I36" t="n">
        <x:v>1775</x:v>
      </x:c>
      <x:c r="J36" t="str">
        <x:v>yes</x:v>
      </x:c>
      <x:c r="K36" t="str">
        <x:v>summarize_history</x:v>
      </x:c>
      <x:c r="L36" t="n">
        <x:v>11</x:v>
      </x:c>
      <x:c r="M36" t="n">
        <x:v>7</x:v>
      </x:c>
      <x:c r="N36" s="14" t="n">
        <x:v>0.331</x:v>
      </x:c>
      <x:c r="O36" t="str">
        <x:v>no</x:v>
      </x:c>
      <x:c r="P36" t="str">
        <x:v>yes</x:v>
      </x:c>
      <x:c r="Q36" t="n">
        <x:v>1142</x:v>
      </x:c>
      <x:c r="R36" s="16" t="n">
        <x:v>0.867</x:v>
      </x:c>
      <x:c r="S36" t="str">
        <x:v>no</x:v>
      </x:c>
      <x:c r="T36" t="str">
        <x:v>no</x:v>
      </x:c>
      <x:c r="U36" t="str">
        <x:v>healthy</x:v>
      </x:c>
    </x:row>
    <x:row r="37">
      <x:c r="A37" s="12" t="n">
        <x:v>46244.04861111111</x:v>
      </x:c>
      <x:c r="B37" t="str">
        <x:v>req_6c49afe735</x:v>
      </x:c>
      <x:c r="C37" t="str">
        <x:v>document_qa</x:v>
      </x:c>
      <x:c r="D37" t="n">
        <x:v>4096</x:v>
      </x:c>
      <x:c r="E37" t="n">
        <x:v>1024</x:v>
      </x:c>
      <x:c r="F37" t="n">
        <x:v>1794</x:v>
      </x:c>
      <x:c r="G37" t="n">
        <x:v>3072</x:v>
      </x:c>
      <x:c r="H37" t="n">
        <x:v>1794</x:v>
      </x:c>
      <x:c r="I37" t="n">
        <x:v>0</x:v>
      </x:c>
      <x:c r="J37" t="str">
        <x:v>no</x:v>
      </x:c>
      <x:c r="K37" t="str">
        <x:v>none</x:v>
      </x:c>
      <x:c r="L37" t="n">
        <x:v>10</x:v>
      </x:c>
      <x:c r="M37" t="n">
        <x:v>10</x:v>
      </x:c>
      <x:c r="N37" s="14" t="n">
        <x:v>0</x:v>
      </x:c>
      <x:c r="O37" t="str">
        <x:v>no</x:v>
      </x:c>
      <x:c r="P37" t="str">
        <x:v>no</x:v>
      </x:c>
      <x:c r="Q37" t="n">
        <x:v>983</x:v>
      </x:c>
      <x:c r="R37" s="16" t="n">
        <x:v>0.907</x:v>
      </x:c>
      <x:c r="S37" t="str">
        <x:v>no</x:v>
      </x:c>
      <x:c r="T37" t="str">
        <x:v>no</x:v>
      </x:c>
      <x:c r="U37" t="str">
        <x:v>healthy</x:v>
      </x:c>
    </x:row>
    <x:row r="38">
      <x:c r="A38" s="12" t="n">
        <x:v>46244.05</x:v>
      </x:c>
      <x:c r="B38" t="str">
        <x:v>req_19e514f0e7</x:v>
      </x:c>
      <x:c r="C38" t="str">
        <x:v>multi_turn_assistant</x:v>
      </x:c>
      <x:c r="D38" t="n">
        <x:v>4096</x:v>
      </x:c>
      <x:c r="E38" t="n">
        <x:v>1024</x:v>
      </x:c>
      <x:c r="F38" t="n">
        <x:v>7066</x:v>
      </x:c>
      <x:c r="G38" t="n">
        <x:v>3072</x:v>
      </x:c>
      <x:c r="H38" t="n">
        <x:v>3072</x:v>
      </x:c>
      <x:c r="I38" t="n">
        <x:v>3994</x:v>
      </x:c>
      <x:c r="J38" t="str">
        <x:v>yes</x:v>
      </x:c>
      <x:c r="K38" t="str">
        <x:v>summarize_history</x:v>
      </x:c>
      <x:c r="L38" t="n">
        <x:v>7</x:v>
      </x:c>
      <x:c r="M38" t="n">
        <x:v>3</x:v>
      </x:c>
      <x:c r="N38" s="14" t="n">
        <x:v>0.565</x:v>
      </x:c>
      <x:c r="O38" t="str">
        <x:v>no</x:v>
      </x:c>
      <x:c r="P38" t="str">
        <x:v>yes</x:v>
      </x:c>
      <x:c r="Q38" t="n">
        <x:v>1412</x:v>
      </x:c>
      <x:c r="R38" s="16" t="n">
        <x:v>0.797</x:v>
      </x:c>
      <x:c r="S38" t="str">
        <x:v>no</x:v>
      </x:c>
      <x:c r="T38" t="str">
        <x:v>no</x:v>
      </x:c>
      <x:c r="U38" t="str">
        <x:v>healthy</x:v>
      </x:c>
    </x:row>
    <x:row r="39">
      <x:c r="A39" s="12" t="n">
        <x:v>46244.05138888889</x:v>
      </x:c>
      <x:c r="B39" t="str">
        <x:v>req_b66c30fcc6</x:v>
      </x:c>
      <x:c r="C39" t="str">
        <x:v>multi_turn_assistant</x:v>
      </x:c>
      <x:c r="D39" t="n">
        <x:v>4096</x:v>
      </x:c>
      <x:c r="E39" t="n">
        <x:v>512</x:v>
      </x:c>
      <x:c r="F39" t="n">
        <x:v>6670</x:v>
      </x:c>
      <x:c r="G39" t="n">
        <x:v>3584</x:v>
      </x:c>
      <x:c r="H39" t="n">
        <x:v>3584</x:v>
      </x:c>
      <x:c r="I39" t="n">
        <x:v>3086</x:v>
      </x:c>
      <x:c r="J39" t="str">
        <x:v>yes</x:v>
      </x:c>
      <x:c r="K39" t="str">
        <x:v>truncate_oldest</x:v>
      </x:c>
      <x:c r="L39" t="n">
        <x:v>16</x:v>
      </x:c>
      <x:c r="M39" t="n">
        <x:v>8</x:v>
      </x:c>
      <x:c r="N39" s="14" t="n">
        <x:v>0.463</x:v>
      </x:c>
      <x:c r="O39" t="str">
        <x:v>no</x:v>
      </x:c>
      <x:c r="P39" t="str">
        <x:v>no</x:v>
      </x:c>
      <x:c r="Q39" t="n">
        <x:v>1205</x:v>
      </x:c>
      <x:c r="R39" s="16" t="n">
        <x:v>0.798</x:v>
      </x:c>
      <x:c r="S39" t="str">
        <x:v>no</x:v>
      </x:c>
      <x:c r="T39" t="str">
        <x:v>no</x:v>
      </x:c>
      <x:c r="U39" t="str">
        <x:v>healthy</x:v>
      </x:c>
    </x:row>
    <x:row r="40">
      <x:c r="A40" s="12" t="n">
        <x:v>46244.052777777775</x:v>
      </x:c>
      <x:c r="B40" t="str">
        <x:v>req_beb2702e15</x:v>
      </x:c>
      <x:c r="C40" t="str">
        <x:v>customer_support_thread</x:v>
      </x:c>
      <x:c r="D40" t="n">
        <x:v>4096</x:v>
      </x:c>
      <x:c r="E40" t="n">
        <x:v>768</x:v>
      </x:c>
      <x:c r="F40" t="n">
        <x:v>7115</x:v>
      </x:c>
      <x:c r="G40" t="n">
        <x:v>3328</x:v>
      </x:c>
      <x:c r="H40" t="n">
        <x:v>3328</x:v>
      </x:c>
      <x:c r="I40" t="n">
        <x:v>3787</x:v>
      </x:c>
      <x:c r="J40" t="str">
        <x:v>yes</x:v>
      </x:c>
      <x:c r="K40" t="str">
        <x:v>truncate_oldest</x:v>
      </x:c>
      <x:c r="L40" t="n">
        <x:v>20</x:v>
      </x:c>
      <x:c r="M40" t="n">
        <x:v>9</x:v>
      </x:c>
      <x:c r="N40" s="14" t="n">
        <x:v>0.532</x:v>
      </x:c>
      <x:c r="O40" t="str">
        <x:v>no</x:v>
      </x:c>
      <x:c r="P40" t="str">
        <x:v>no</x:v>
      </x:c>
      <x:c r="Q40" t="n">
        <x:v>960</x:v>
      </x:c>
      <x:c r="R40" s="16" t="n">
        <x:v>0.665</x:v>
      </x:c>
      <x:c r="S40" t="str">
        <x:v>no</x:v>
      </x:c>
      <x:c r="T40" t="str">
        <x:v>no</x:v>
      </x:c>
      <x:c r="U40" t="str">
        <x:v>degraded</x:v>
      </x:c>
    </x:row>
    <x:row r="41">
      <x:c r="A41" s="12" t="n">
        <x:v>46244.05416666667</x:v>
      </x:c>
      <x:c r="B41" t="str">
        <x:v>req_c8c875e521</x:v>
      </x:c>
      <x:c r="C41" t="str">
        <x:v>customer_support_thread</x:v>
      </x:c>
      <x:c r="D41" t="n">
        <x:v>4096</x:v>
      </x:c>
      <x:c r="E41" t="n">
        <x:v>512</x:v>
      </x:c>
      <x:c r="F41" t="n">
        <x:v>3072</x:v>
      </x:c>
      <x:c r="G41" t="n">
        <x:v>3584</x:v>
      </x:c>
      <x:c r="H41" t="n">
        <x:v>3072</x:v>
      </x:c>
      <x:c r="I41" t="n">
        <x:v>0</x:v>
      </x:c>
      <x:c r="J41" t="str">
        <x:v>no</x:v>
      </x:c>
      <x:c r="K41" t="str">
        <x:v>none</x:v>
      </x:c>
      <x:c r="L41" t="n">
        <x:v>5</x:v>
      </x:c>
      <x:c r="M41" t="n">
        <x:v>5</x:v>
      </x:c>
      <x:c r="N41" s="14" t="n">
        <x:v>0</x:v>
      </x:c>
      <x:c r="O41" t="str">
        <x:v>no</x:v>
      </x:c>
      <x:c r="P41" t="str">
        <x:v>no</x:v>
      </x:c>
      <x:c r="Q41" t="n">
        <x:v>1318</x:v>
      </x:c>
      <x:c r="R41" s="16" t="n">
        <x:v>0.889</x:v>
      </x:c>
      <x:c r="S41" t="str">
        <x:v>no</x:v>
      </x:c>
      <x:c r="T41" t="str">
        <x:v>no</x:v>
      </x:c>
      <x:c r="U41" t="str">
        <x:v>healthy</x:v>
      </x:c>
    </x:row>
    <x:row r="42">
      <x:c r="A42" s="12" t="n">
        <x:v>46244.055555555555</x:v>
      </x:c>
      <x:c r="B42" t="str">
        <x:v>req_f34cd4b1bc</x:v>
      </x:c>
      <x:c r="C42" t="str">
        <x:v>multi_turn_assistant</x:v>
      </x:c>
      <x:c r="D42" t="n">
        <x:v>4096</x:v>
      </x:c>
      <x:c r="E42" t="n">
        <x:v>1024</x:v>
      </x:c>
      <x:c r="F42" t="n">
        <x:v>4659</x:v>
      </x:c>
      <x:c r="G42" t="n">
        <x:v>3072</x:v>
      </x:c>
      <x:c r="H42" t="n">
        <x:v>3072</x:v>
      </x:c>
      <x:c r="I42" t="n">
        <x:v>1587</x:v>
      </x:c>
      <x:c r="J42" t="str">
        <x:v>yes</x:v>
      </x:c>
      <x:c r="K42" t="str">
        <x:v>retrieval_fallback</x:v>
      </x:c>
      <x:c r="L42" t="n">
        <x:v>11</x:v>
      </x:c>
      <x:c r="M42" t="n">
        <x:v>7</x:v>
      </x:c>
      <x:c r="N42" s="14" t="n">
        <x:v>0.341</x:v>
      </x:c>
      <x:c r="O42" t="str">
        <x:v>yes</x:v>
      </x:c>
      <x:c r="P42" t="str">
        <x:v>no</x:v>
      </x:c>
      <x:c r="Q42" t="n">
        <x:v>1230</x:v>
      </x:c>
      <x:c r="R42" s="16" t="n">
        <x:v>0.849</x:v>
      </x:c>
      <x:c r="S42" t="str">
        <x:v>no</x:v>
      </x:c>
      <x:c r="T42" t="str">
        <x:v>no</x:v>
      </x:c>
      <x:c r="U42" t="str">
        <x:v>healthy</x:v>
      </x:c>
    </x:row>
    <x:row r="43">
      <x:c r="A43" s="12" t="n">
        <x:v>46244.05694444444</x:v>
      </x:c>
      <x:c r="B43" t="str">
        <x:v>req_8f68ddb49c</x:v>
      </x:c>
      <x:c r="C43" t="str">
        <x:v>multi_turn_assistant</x:v>
      </x:c>
      <x:c r="D43" t="n">
        <x:v>4096</x:v>
      </x:c>
      <x:c r="E43" t="n">
        <x:v>512</x:v>
      </x:c>
      <x:c r="F43" t="n">
        <x:v>4684</x:v>
      </x:c>
      <x:c r="G43" t="n">
        <x:v>3584</x:v>
      </x:c>
      <x:c r="H43" t="n">
        <x:v>3584</x:v>
      </x:c>
      <x:c r="I43" t="n">
        <x:v>1100</x:v>
      </x:c>
      <x:c r="J43" t="str">
        <x:v>yes</x:v>
      </x:c>
      <x:c r="K43" t="str">
        <x:v>truncate_oldest</x:v>
      </x:c>
      <x:c r="L43" t="n">
        <x:v>3</x:v>
      </x:c>
      <x:c r="M43" t="n">
        <x:v>2</x:v>
      </x:c>
      <x:c r="N43" s="14" t="n">
        <x:v>0.235</x:v>
      </x:c>
      <x:c r="O43" t="str">
        <x:v>no</x:v>
      </x:c>
      <x:c r="P43" t="str">
        <x:v>no</x:v>
      </x:c>
      <x:c r="Q43" t="n">
        <x:v>1152</x:v>
      </x:c>
      <x:c r="R43" s="16" t="n">
        <x:v>0.815</x:v>
      </x:c>
      <x:c r="S43" t="str">
        <x:v>yes</x:v>
      </x:c>
      <x:c r="T43" t="str">
        <x:v>no</x:v>
      </x:c>
      <x:c r="U43" t="str">
        <x:v>degraded</x:v>
      </x:c>
    </x:row>
    <x:row r="44">
      <x:c r="A44" s="12" t="n">
        <x:v>46244.058333333334</x:v>
      </x:c>
      <x:c r="B44" t="str">
        <x:v>req_faf4f42c95</x:v>
      </x:c>
      <x:c r="C44" t="str">
        <x:v>customer_support_thread</x:v>
      </x:c>
      <x:c r="D44" t="n">
        <x:v>4096</x:v>
      </x:c>
      <x:c r="E44" t="n">
        <x:v>512</x:v>
      </x:c>
      <x:c r="F44" t="n">
        <x:v>3366</x:v>
      </x:c>
      <x:c r="G44" t="n">
        <x:v>3584</x:v>
      </x:c>
      <x:c r="H44" t="n">
        <x:v>3366</x:v>
      </x:c>
      <x:c r="I44" t="n">
        <x:v>0</x:v>
      </x:c>
      <x:c r="J44" t="str">
        <x:v>no</x:v>
      </x:c>
      <x:c r="K44" t="str">
        <x:v>none</x:v>
      </x:c>
      <x:c r="L44" t="n">
        <x:v>17</x:v>
      </x:c>
      <x:c r="M44" t="n">
        <x:v>17</x:v>
      </x:c>
      <x:c r="N44" s="14" t="n">
        <x:v>0</x:v>
      </x:c>
      <x:c r="O44" t="str">
        <x:v>no</x:v>
      </x:c>
      <x:c r="P44" t="str">
        <x:v>no</x:v>
      </x:c>
      <x:c r="Q44" t="n">
        <x:v>1023</x:v>
      </x:c>
      <x:c r="R44" s="16" t="n">
        <x:v>0.861</x:v>
      </x:c>
      <x:c r="S44" t="str">
        <x:v>no</x:v>
      </x:c>
      <x:c r="T44" t="str">
        <x:v>no</x:v>
      </x:c>
      <x:c r="U44" t="str">
        <x:v>healthy</x:v>
      </x:c>
    </x:row>
    <x:row r="45">
      <x:c r="A45" s="12" t="n">
        <x:v>46244.05972222222</x:v>
      </x:c>
      <x:c r="B45" t="str">
        <x:v>req_fe28b511b3</x:v>
      </x:c>
      <x:c r="C45" t="str">
        <x:v>multi_turn_assistant</x:v>
      </x:c>
      <x:c r="D45" t="n">
        <x:v>4096</x:v>
      </x:c>
      <x:c r="E45" t="n">
        <x:v>512</x:v>
      </x:c>
      <x:c r="F45" t="n">
        <x:v>2096</x:v>
      </x:c>
      <x:c r="G45" t="n">
        <x:v>3584</x:v>
      </x:c>
      <x:c r="H45" t="n">
        <x:v>2096</x:v>
      </x:c>
      <x:c r="I45" t="n">
        <x:v>0</x:v>
      </x:c>
      <x:c r="J45" t="str">
        <x:v>no</x:v>
      </x:c>
      <x:c r="K45" t="str">
        <x:v>none</x:v>
      </x:c>
      <x:c r="L45" t="n">
        <x:v>11</x:v>
      </x:c>
      <x:c r="M45" t="n">
        <x:v>11</x:v>
      </x:c>
      <x:c r="N45" s="14" t="n">
        <x:v>0</x:v>
      </x:c>
      <x:c r="O45" t="str">
        <x:v>no</x:v>
      </x:c>
      <x:c r="P45" t="str">
        <x:v>no</x:v>
      </x:c>
      <x:c r="Q45" t="n">
        <x:v>922</x:v>
      </x:c>
      <x:c r="R45" s="16" t="n">
        <x:v>0.866</x:v>
      </x:c>
      <x:c r="S45" t="str">
        <x:v>no</x:v>
      </x:c>
      <x:c r="T45" t="str">
        <x:v>no</x:v>
      </x:c>
      <x:c r="U45" t="str">
        <x:v>healthy</x:v>
      </x:c>
    </x:row>
    <x:row r="46">
      <x:c r="A46" s="12" t="n">
        <x:v>46244.061111111114</x:v>
      </x:c>
      <x:c r="B46" t="str">
        <x:v>req_9f37da5728</x:v>
      </x:c>
      <x:c r="C46" t="str">
        <x:v>multi_turn_assistant</x:v>
      </x:c>
      <x:c r="D46" t="n">
        <x:v>4096</x:v>
      </x:c>
      <x:c r="E46" t="n">
        <x:v>768</x:v>
      </x:c>
      <x:c r="F46" t="n">
        <x:v>3575</x:v>
      </x:c>
      <x:c r="G46" t="n">
        <x:v>3328</x:v>
      </x:c>
      <x:c r="H46" t="n">
        <x:v>3328</x:v>
      </x:c>
      <x:c r="I46" t="n">
        <x:v>247</x:v>
      </x:c>
      <x:c r="J46" t="str">
        <x:v>yes</x:v>
      </x:c>
      <x:c r="K46" t="str">
        <x:v>summarize_history</x:v>
      </x:c>
      <x:c r="L46" t="n">
        <x:v>8</x:v>
      </x:c>
      <x:c r="M46" t="n">
        <x:v>7</x:v>
      </x:c>
      <x:c r="N46" s="14" t="n">
        <x:v>0.069</x:v>
      </x:c>
      <x:c r="O46" t="str">
        <x:v>no</x:v>
      </x:c>
      <x:c r="P46" t="str">
        <x:v>yes</x:v>
      </x:c>
      <x:c r="Q46" t="n">
        <x:v>1367</x:v>
      </x:c>
      <x:c r="R46" s="16" t="n">
        <x:v>0.871</x:v>
      </x:c>
      <x:c r="S46" t="str">
        <x:v>no</x:v>
      </x:c>
      <x:c r="T46" t="str">
        <x:v>yes</x:v>
      </x:c>
      <x:c r="U46" t="str">
        <x:v>degraded</x:v>
      </x:c>
    </x:row>
    <x:row r="47">
      <x:c r="A47" s="12" t="n">
        <x:v>46244.0625</x:v>
      </x:c>
      <x:c r="B47" t="str">
        <x:v>req_6f0f62cb4c</x:v>
      </x:c>
      <x:c r="C47" t="str">
        <x:v>multi_turn_assistant</x:v>
      </x:c>
      <x:c r="D47" t="n">
        <x:v>4096</x:v>
      </x:c>
      <x:c r="E47" t="n">
        <x:v>768</x:v>
      </x:c>
      <x:c r="F47" t="n">
        <x:v>5412</x:v>
      </x:c>
      <x:c r="G47" t="n">
        <x:v>3328</x:v>
      </x:c>
      <x:c r="H47" t="n">
        <x:v>3328</x:v>
      </x:c>
      <x:c r="I47" t="n">
        <x:v>2084</x:v>
      </x:c>
      <x:c r="J47" t="str">
        <x:v>yes</x:v>
      </x:c>
      <x:c r="K47" t="str">
        <x:v>truncate_oldest</x:v>
      </x:c>
      <x:c r="L47" t="n">
        <x:v>17</x:v>
      </x:c>
      <x:c r="M47" t="n">
        <x:v>10</x:v>
      </x:c>
      <x:c r="N47" s="14" t="n">
        <x:v>0.385</x:v>
      </x:c>
      <x:c r="O47" t="str">
        <x:v>no</x:v>
      </x:c>
      <x:c r="P47" t="str">
        <x:v>no</x:v>
      </x:c>
      <x:c r="Q47" t="n">
        <x:v>1062</x:v>
      </x:c>
      <x:c r="R47" s="16" t="n">
        <x:v>0.681</x:v>
      </x:c>
      <x:c r="S47" t="str">
        <x:v>no</x:v>
      </x:c>
      <x:c r="T47" t="str">
        <x:v>no</x:v>
      </x:c>
      <x:c r="U47" t="str">
        <x:v>degraded</x:v>
      </x:c>
    </x:row>
    <x:row r="48">
      <x:c r="A48" s="12" t="n">
        <x:v>46244.063888888886</x:v>
      </x:c>
      <x:c r="B48" t="str">
        <x:v>req_a3da749a37</x:v>
      </x:c>
      <x:c r="C48" t="str">
        <x:v>coding_assistant</x:v>
      </x:c>
      <x:c r="D48" t="n">
        <x:v>4096</x:v>
      </x:c>
      <x:c r="E48" t="n">
        <x:v>768</x:v>
      </x:c>
      <x:c r="F48" t="n">
        <x:v>5350</x:v>
      </x:c>
      <x:c r="G48" t="n">
        <x:v>3328</x:v>
      </x:c>
      <x:c r="H48" t="n">
        <x:v>3328</x:v>
      </x:c>
      <x:c r="I48" t="n">
        <x:v>2022</x:v>
      </x:c>
      <x:c r="J48" t="str">
        <x:v>yes</x:v>
      </x:c>
      <x:c r="K48" t="str">
        <x:v>summarize_history</x:v>
      </x:c>
      <x:c r="L48" t="n">
        <x:v>10</x:v>
      </x:c>
      <x:c r="M48" t="n">
        <x:v>6</x:v>
      </x:c>
      <x:c r="N48" s="14" t="n">
        <x:v>0.378</x:v>
      </x:c>
      <x:c r="O48" t="str">
        <x:v>no</x:v>
      </x:c>
      <x:c r="P48" t="str">
        <x:v>yes</x:v>
      </x:c>
      <x:c r="Q48" t="n">
        <x:v>1134</x:v>
      </x:c>
      <x:c r="R48" s="16" t="n">
        <x:v>0.794</x:v>
      </x:c>
      <x:c r="S48" t="str">
        <x:v>no</x:v>
      </x:c>
      <x:c r="T48" t="str">
        <x:v>no</x:v>
      </x:c>
      <x:c r="U48" t="str">
        <x:v>healthy</x:v>
      </x:c>
    </x:row>
    <x:row r="49">
      <x:c r="A49" s="12" t="n">
        <x:v>46244.06527777778</x:v>
      </x:c>
      <x:c r="B49" t="str">
        <x:v>req_5b3f1ad9d5</x:v>
      </x:c>
      <x:c r="C49" t="str">
        <x:v>customer_support_thread</x:v>
      </x:c>
      <x:c r="D49" t="n">
        <x:v>4096</x:v>
      </x:c>
      <x:c r="E49" t="n">
        <x:v>512</x:v>
      </x:c>
      <x:c r="F49" t="n">
        <x:v>2263</x:v>
      </x:c>
      <x:c r="G49" t="n">
        <x:v>3584</x:v>
      </x:c>
      <x:c r="H49" t="n">
        <x:v>2263</x:v>
      </x:c>
      <x:c r="I49" t="n">
        <x:v>0</x:v>
      </x:c>
      <x:c r="J49" t="str">
        <x:v>no</x:v>
      </x:c>
      <x:c r="K49" t="str">
        <x:v>none</x:v>
      </x:c>
      <x:c r="L49" t="n">
        <x:v>5</x:v>
      </x:c>
      <x:c r="M49" t="n">
        <x:v>5</x:v>
      </x:c>
      <x:c r="N49" s="14" t="n">
        <x:v>0</x:v>
      </x:c>
      <x:c r="O49" t="str">
        <x:v>no</x:v>
      </x:c>
      <x:c r="P49" t="str">
        <x:v>no</x:v>
      </x:c>
      <x:c r="Q49" t="n">
        <x:v>1023</x:v>
      </x:c>
      <x:c r="R49" s="16" t="n">
        <x:v>0.929</x:v>
      </x:c>
      <x:c r="S49" t="str">
        <x:v>no</x:v>
      </x:c>
      <x:c r="T49" t="str">
        <x:v>no</x:v>
      </x:c>
      <x:c r="U49" t="str">
        <x:v>healthy</x:v>
      </x:c>
    </x:row>
    <x:row r="50">
      <x:c r="A50" s="12" t="n">
        <x:v>46244.066666666666</x:v>
      </x:c>
      <x:c r="B50" t="str">
        <x:v>req_9c3c5ef474</x:v>
      </x:c>
      <x:c r="C50" t="str">
        <x:v>coding_assistant</x:v>
      </x:c>
      <x:c r="D50" t="n">
        <x:v>4096</x:v>
      </x:c>
      <x:c r="E50" t="n">
        <x:v>1024</x:v>
      </x:c>
      <x:c r="F50" t="n">
        <x:v>5344</x:v>
      </x:c>
      <x:c r="G50" t="n">
        <x:v>3072</x:v>
      </x:c>
      <x:c r="H50" t="n">
        <x:v>3072</x:v>
      </x:c>
      <x:c r="I50" t="n">
        <x:v>2272</x:v>
      </x:c>
      <x:c r="J50" t="str">
        <x:v>yes</x:v>
      </x:c>
      <x:c r="K50" t="str">
        <x:v>retrieval_fallback</x:v>
      </x:c>
      <x:c r="L50" t="n">
        <x:v>22</x:v>
      </x:c>
      <x:c r="M50" t="n">
        <x:v>12</x:v>
      </x:c>
      <x:c r="N50" s="14" t="n">
        <x:v>0.425</x:v>
      </x:c>
      <x:c r="O50" t="str">
        <x:v>yes</x:v>
      </x:c>
      <x:c r="P50" t="str">
        <x:v>no</x:v>
      </x:c>
      <x:c r="Q50" t="n">
        <x:v>1187</x:v>
      </x:c>
      <x:c r="R50" s="16" t="n">
        <x:v>0.829</x:v>
      </x:c>
      <x:c r="S50" t="str">
        <x:v>no</x:v>
      </x:c>
      <x:c r="T50" t="str">
        <x:v>no</x:v>
      </x:c>
      <x:c r="U50" t="str">
        <x:v>healthy</x:v>
      </x:c>
    </x:row>
    <x:row r="51">
      <x:c r="A51" s="12" t="n">
        <x:v>46244.06805555556</x:v>
      </x:c>
      <x:c r="B51" t="str">
        <x:v>req_ca05e16dad</x:v>
      </x:c>
      <x:c r="C51" t="str">
        <x:v>document_qa</x:v>
      </x:c>
      <x:c r="D51" t="n">
        <x:v>4096</x:v>
      </x:c>
      <x:c r="E51" t="n">
        <x:v>768</x:v>
      </x:c>
      <x:c r="F51" t="n">
        <x:v>5681</x:v>
      </x:c>
      <x:c r="G51" t="n">
        <x:v>3328</x:v>
      </x:c>
      <x:c r="H51" t="n">
        <x:v>3328</x:v>
      </x:c>
      <x:c r="I51" t="n">
        <x:v>2353</x:v>
      </x:c>
      <x:c r="J51" t="str">
        <x:v>yes</x:v>
      </x:c>
      <x:c r="K51" t="str">
        <x:v>truncate_oldest</x:v>
      </x:c>
      <x:c r="L51" t="n">
        <x:v>12</x:v>
      </x:c>
      <x:c r="M51" t="n">
        <x:v>7</x:v>
      </x:c>
      <x:c r="N51" s="14" t="n">
        <x:v>0.414</x:v>
      </x:c>
      <x:c r="O51" t="str">
        <x:v>no</x:v>
      </x:c>
      <x:c r="P51" t="str">
        <x:v>no</x:v>
      </x:c>
      <x:c r="Q51" t="n">
        <x:v>1077</x:v>
      </x:c>
      <x:c r="R51" s="16" t="n">
        <x:v>0.758</x:v>
      </x:c>
      <x:c r="S51" t="str">
        <x:v>no</x:v>
      </x:c>
      <x:c r="T51" t="str">
        <x:v>yes</x:v>
      </x:c>
      <x:c r="U51" t="str">
        <x:v>degraded</x:v>
      </x:c>
    </x:row>
    <x:row r="52">
      <x:c r="A52" s="12" t="n">
        <x:v>46244.069444444445</x:v>
      </x:c>
      <x:c r="B52" t="str">
        <x:v>req_086c384dcf</x:v>
      </x:c>
      <x:c r="C52" t="str">
        <x:v>document_qa</x:v>
      </x:c>
      <x:c r="D52" t="n">
        <x:v>4096</x:v>
      </x:c>
      <x:c r="E52" t="n">
        <x:v>1024</x:v>
      </x:c>
      <x:c r="F52" t="n">
        <x:v>5318</x:v>
      </x:c>
      <x:c r="G52" t="n">
        <x:v>3072</x:v>
      </x:c>
      <x:c r="H52" t="n">
        <x:v>3072</x:v>
      </x:c>
      <x:c r="I52" t="n">
        <x:v>2246</x:v>
      </x:c>
      <x:c r="J52" t="str">
        <x:v>yes</x:v>
      </x:c>
      <x:c r="K52" t="str">
        <x:v>truncate_oldest</x:v>
      </x:c>
      <x:c r="L52" t="n">
        <x:v>19</x:v>
      </x:c>
      <x:c r="M52" t="n">
        <x:v>10</x:v>
      </x:c>
      <x:c r="N52" s="14" t="n">
        <x:v>0.422</x:v>
      </x:c>
      <x:c r="O52" t="str">
        <x:v>no</x:v>
      </x:c>
      <x:c r="P52" t="str">
        <x:v>no</x:v>
      </x:c>
      <x:c r="Q52" t="n">
        <x:v>923</x:v>
      </x:c>
      <x:c r="R52" s="16" t="n">
        <x:v>0.828</x:v>
      </x:c>
      <x:c r="S52" t="str">
        <x:v>no</x:v>
      </x:c>
      <x:c r="T52" t="str">
        <x:v>yes</x:v>
      </x:c>
      <x:c r="U52" t="str">
        <x:v>degraded</x:v>
      </x:c>
    </x:row>
    <x:row r="53">
      <x:c r="A53" s="12" t="n">
        <x:v>46244.07083333333</x:v>
      </x:c>
      <x:c r="B53" t="str">
        <x:v>req_f598fc6954</x:v>
      </x:c>
      <x:c r="C53" t="str">
        <x:v>document_qa</x:v>
      </x:c>
      <x:c r="D53" t="n">
        <x:v>4096</x:v>
      </x:c>
      <x:c r="E53" t="n">
        <x:v>1024</x:v>
      </x:c>
      <x:c r="F53" t="n">
        <x:v>3692</x:v>
      </x:c>
      <x:c r="G53" t="n">
        <x:v>3072</x:v>
      </x:c>
      <x:c r="H53" t="n">
        <x:v>3072</x:v>
      </x:c>
      <x:c r="I53" t="n">
        <x:v>620</x:v>
      </x:c>
      <x:c r="J53" t="str">
        <x:v>yes</x:v>
      </x:c>
      <x:c r="K53" t="str">
        <x:v>truncate_oldest</x:v>
      </x:c>
      <x:c r="L53" t="n">
        <x:v>21</x:v>
      </x:c>
      <x:c r="M53" t="n">
        <x:v>17</x:v>
      </x:c>
      <x:c r="N53" s="14" t="n">
        <x:v>0.168</x:v>
      </x:c>
      <x:c r="O53" t="str">
        <x:v>no</x:v>
      </x:c>
      <x:c r="P53" t="str">
        <x:v>no</x:v>
      </x:c>
      <x:c r="Q53" t="n">
        <x:v>963</x:v>
      </x:c>
      <x:c r="R53" s="16" t="n">
        <x:v>0.88</x:v>
      </x:c>
      <x:c r="S53" t="str">
        <x:v>no</x:v>
      </x:c>
      <x:c r="T53" t="str">
        <x:v>no</x:v>
      </x:c>
      <x:c r="U53" t="str">
        <x:v>healthy</x:v>
      </x:c>
    </x:row>
    <x:row r="54">
      <x:c r="A54" s="12" t="n">
        <x:v>46244.072222222225</x:v>
      </x:c>
      <x:c r="B54" t="str">
        <x:v>req_683b77d062</x:v>
      </x:c>
      <x:c r="C54" t="str">
        <x:v>agent_tool_run</x:v>
      </x:c>
      <x:c r="D54" t="n">
        <x:v>4096</x:v>
      </x:c>
      <x:c r="E54" t="n">
        <x:v>768</x:v>
      </x:c>
      <x:c r="F54" t="n">
        <x:v>4390</x:v>
      </x:c>
      <x:c r="G54" t="n">
        <x:v>3328</x:v>
      </x:c>
      <x:c r="H54" t="n">
        <x:v>3328</x:v>
      </x:c>
      <x:c r="I54" t="n">
        <x:v>1062</x:v>
      </x:c>
      <x:c r="J54" t="str">
        <x:v>yes</x:v>
      </x:c>
      <x:c r="K54" t="str">
        <x:v>summarize_history</x:v>
      </x:c>
      <x:c r="L54" t="n">
        <x:v>18</x:v>
      </x:c>
      <x:c r="M54" t="n">
        <x:v>13</x:v>
      </x:c>
      <x:c r="N54" s="14" t="n">
        <x:v>0.242</x:v>
      </x:c>
      <x:c r="O54" t="str">
        <x:v>no</x:v>
      </x:c>
      <x:c r="P54" t="str">
        <x:v>yes</x:v>
      </x:c>
      <x:c r="Q54" t="n">
        <x:v>1355</x:v>
      </x:c>
      <x:c r="R54" s="16" t="n">
        <x:v>0.814</x:v>
      </x:c>
      <x:c r="S54" t="str">
        <x:v>no</x:v>
      </x:c>
      <x:c r="T54" t="str">
        <x:v>yes</x:v>
      </x:c>
      <x:c r="U54" t="str">
        <x:v>degraded</x:v>
      </x:c>
    </x:row>
    <x:row r="55">
      <x:c r="A55" s="12" t="n">
        <x:v>46244.07361111111</x:v>
      </x:c>
      <x:c r="B55" t="str">
        <x:v>req_ba803ca814</x:v>
      </x:c>
      <x:c r="C55" t="str">
        <x:v>coding_assistant</x:v>
      </x:c>
      <x:c r="D55" t="n">
        <x:v>4096</x:v>
      </x:c>
      <x:c r="E55" t="n">
        <x:v>1024</x:v>
      </x:c>
      <x:c r="F55" t="n">
        <x:v>6943</x:v>
      </x:c>
      <x:c r="G55" t="n">
        <x:v>3072</x:v>
      </x:c>
      <x:c r="H55" t="n">
        <x:v>3072</x:v>
      </x:c>
      <x:c r="I55" t="n">
        <x:v>3871</x:v>
      </x:c>
      <x:c r="J55" t="str">
        <x:v>yes</x:v>
      </x:c>
      <x:c r="K55" t="str">
        <x:v>truncate_oldest</x:v>
      </x:c>
      <x:c r="L55" t="n">
        <x:v>19</x:v>
      </x:c>
      <x:c r="M55" t="n">
        <x:v>8</x:v>
      </x:c>
      <x:c r="N55" s="14" t="n">
        <x:v>0.558</x:v>
      </x:c>
      <x:c r="O55" t="str">
        <x:v>no</x:v>
      </x:c>
      <x:c r="P55" t="str">
        <x:v>no</x:v>
      </x:c>
      <x:c r="Q55" t="n">
        <x:v>808</x:v>
      </x:c>
      <x:c r="R55" s="16" t="n">
        <x:v>0.708</x:v>
      </x:c>
      <x:c r="S55" t="str">
        <x:v>no</x:v>
      </x:c>
      <x:c r="T55" t="str">
        <x:v>yes</x:v>
      </x:c>
      <x:c r="U55" t="str">
        <x:v>degraded</x:v>
      </x:c>
    </x:row>
    <x:row r="56">
      <x:c r="A56" s="12" t="n">
        <x:v>46244.075</x:v>
      </x:c>
      <x:c r="B56" t="str">
        <x:v>req_8e93679798</x:v>
      </x:c>
      <x:c r="C56" t="str">
        <x:v>agent_tool_run</x:v>
      </x:c>
      <x:c r="D56" t="n">
        <x:v>4096</x:v>
      </x:c>
      <x:c r="E56" t="n">
        <x:v>1024</x:v>
      </x:c>
      <x:c r="F56" t="n">
        <x:v>7026</x:v>
      </x:c>
      <x:c r="G56" t="n">
        <x:v>3072</x:v>
      </x:c>
      <x:c r="H56" t="n">
        <x:v>3072</x:v>
      </x:c>
      <x:c r="I56" t="n">
        <x:v>3954</x:v>
      </x:c>
      <x:c r="J56" t="str">
        <x:v>yes</x:v>
      </x:c>
      <x:c r="K56" t="str">
        <x:v>retrieval_fallback</x:v>
      </x:c>
      <x:c r="L56" t="n">
        <x:v>23</x:v>
      </x:c>
      <x:c r="M56" t="n">
        <x:v>10</x:v>
      </x:c>
      <x:c r="N56" s="14" t="n">
        <x:v>0.563</x:v>
      </x:c>
      <x:c r="O56" t="str">
        <x:v>yes</x:v>
      </x:c>
      <x:c r="P56" t="str">
        <x:v>no</x:v>
      </x:c>
      <x:c r="Q56" t="n">
        <x:v>1456</x:v>
      </x:c>
      <x:c r="R56" s="16" t="n">
        <x:v>0.827</x:v>
      </x:c>
      <x:c r="S56" t="str">
        <x:v>yes</x:v>
      </x:c>
      <x:c r="T56" t="str">
        <x:v>no</x:v>
      </x:c>
      <x:c r="U56" t="str">
        <x:v>degraded</x:v>
      </x:c>
    </x:row>
    <x:row r="57">
      <x:c r="A57" s="12" t="n">
        <x:v>46244.07638888889</x:v>
      </x:c>
      <x:c r="B57" t="str">
        <x:v>req_81827ddb53</x:v>
      </x:c>
      <x:c r="C57" t="str">
        <x:v>agent_tool_run</x:v>
      </x:c>
      <x:c r="D57" t="n">
        <x:v>4096</x:v>
      </x:c>
      <x:c r="E57" t="n">
        <x:v>1024</x:v>
      </x:c>
      <x:c r="F57" t="n">
        <x:v>1615</x:v>
      </x:c>
      <x:c r="G57" t="n">
        <x:v>3072</x:v>
      </x:c>
      <x:c r="H57" t="n">
        <x:v>1615</x:v>
      </x:c>
      <x:c r="I57" t="n">
        <x:v>0</x:v>
      </x:c>
      <x:c r="J57" t="str">
        <x:v>no</x:v>
      </x:c>
      <x:c r="K57" t="str">
        <x:v>none</x:v>
      </x:c>
      <x:c r="L57" t="n">
        <x:v>3</x:v>
      </x:c>
      <x:c r="M57" t="n">
        <x:v>3</x:v>
      </x:c>
      <x:c r="N57" s="14" t="n">
        <x:v>0</x:v>
      </x:c>
      <x:c r="O57" t="str">
        <x:v>no</x:v>
      </x:c>
      <x:c r="P57" t="str">
        <x:v>no</x:v>
      </x:c>
      <x:c r="Q57" t="n">
        <x:v>1048</x:v>
      </x:c>
      <x:c r="R57" s="16" t="n">
        <x:v>0.929</x:v>
      </x:c>
      <x:c r="S57" t="str">
        <x:v>no</x:v>
      </x:c>
      <x:c r="T57" t="str">
        <x:v>yes</x:v>
      </x:c>
      <x:c r="U57" t="str">
        <x:v>degraded</x:v>
      </x:c>
    </x:row>
    <x:row r="58">
      <x:c r="A58" s="12" t="n">
        <x:v>46244.07777777778</x:v>
      </x:c>
      <x:c r="B58" t="str">
        <x:v>req_29adcfa01a</x:v>
      </x:c>
      <x:c r="C58" t="str">
        <x:v>customer_support_thread</x:v>
      </x:c>
      <x:c r="D58" t="n">
        <x:v>4096</x:v>
      </x:c>
      <x:c r="E58" t="n">
        <x:v>1024</x:v>
      </x:c>
      <x:c r="F58" t="n">
        <x:v>5320</x:v>
      </x:c>
      <x:c r="G58" t="n">
        <x:v>3072</x:v>
      </x:c>
      <x:c r="H58" t="n">
        <x:v>3072</x:v>
      </x:c>
      <x:c r="I58" t="n">
        <x:v>2248</x:v>
      </x:c>
      <x:c r="J58" t="str">
        <x:v>yes</x:v>
      </x:c>
      <x:c r="K58" t="str">
        <x:v>truncate_oldest</x:v>
      </x:c>
      <x:c r="L58" t="n">
        <x:v>19</x:v>
      </x:c>
      <x:c r="M58" t="n">
        <x:v>10</x:v>
      </x:c>
      <x:c r="N58" s="14" t="n">
        <x:v>0.423</x:v>
      </x:c>
      <x:c r="O58" t="str">
        <x:v>no</x:v>
      </x:c>
      <x:c r="P58" t="str">
        <x:v>no</x:v>
      </x:c>
      <x:c r="Q58" t="n">
        <x:v>1006</x:v>
      </x:c>
      <x:c r="R58" s="16" t="n">
        <x:v>0.668</x:v>
      </x:c>
      <x:c r="S58" t="str">
        <x:v>no</x:v>
      </x:c>
      <x:c r="T58" t="str">
        <x:v>yes</x:v>
      </x:c>
      <x:c r="U58" t="str">
        <x:v>degraded</x:v>
      </x:c>
    </x:row>
    <x:row r="59">
      <x:c r="A59" s="12" t="n">
        <x:v>46244.07916666667</x:v>
      </x:c>
      <x:c r="B59" t="str">
        <x:v>req_329c32cd6d</x:v>
      </x:c>
      <x:c r="C59" t="str">
        <x:v>multi_turn_assistant</x:v>
      </x:c>
      <x:c r="D59" t="n">
        <x:v>4096</x:v>
      </x:c>
      <x:c r="E59" t="n">
        <x:v>1024</x:v>
      </x:c>
      <x:c r="F59" t="n">
        <x:v>3090</x:v>
      </x:c>
      <x:c r="G59" t="n">
        <x:v>3072</x:v>
      </x:c>
      <x:c r="H59" t="n">
        <x:v>3072</x:v>
      </x:c>
      <x:c r="I59" t="n">
        <x:v>18</x:v>
      </x:c>
      <x:c r="J59" t="str">
        <x:v>yes</x:v>
      </x:c>
      <x:c r="K59" t="str">
        <x:v>summarize_history</x:v>
      </x:c>
      <x:c r="L59" t="n">
        <x:v>17</x:v>
      </x:c>
      <x:c r="M59" t="n">
        <x:v>16</x:v>
      </x:c>
      <x:c r="N59" s="14" t="n">
        <x:v>0.006</x:v>
      </x:c>
      <x:c r="O59" t="str">
        <x:v>no</x:v>
      </x:c>
      <x:c r="P59" t="str">
        <x:v>yes</x:v>
      </x:c>
      <x:c r="Q59" t="n">
        <x:v>1398</x:v>
      </x:c>
      <x:c r="R59" s="16" t="n">
        <x:v>0.913</x:v>
      </x:c>
      <x:c r="S59" t="str">
        <x:v>no</x:v>
      </x:c>
      <x:c r="T59" t="str">
        <x:v>no</x:v>
      </x:c>
      <x:c r="U59" t="str">
        <x:v>healthy</x:v>
      </x:c>
    </x:row>
    <x:row r="60">
      <x:c r="A60" s="12" t="n">
        <x:v>46244.080555555556</x:v>
      </x:c>
      <x:c r="B60" t="str">
        <x:v>req_936cddb9f3</x:v>
      </x:c>
      <x:c r="C60" t="str">
        <x:v>customer_support_thread</x:v>
      </x:c>
      <x:c r="D60" t="n">
        <x:v>4096</x:v>
      </x:c>
      <x:c r="E60" t="n">
        <x:v>1024</x:v>
      </x:c>
      <x:c r="F60" t="n">
        <x:v>6254</x:v>
      </x:c>
      <x:c r="G60" t="n">
        <x:v>3072</x:v>
      </x:c>
      <x:c r="H60" t="n">
        <x:v>3072</x:v>
      </x:c>
      <x:c r="I60" t="n">
        <x:v>3182</x:v>
      </x:c>
      <x:c r="J60" t="str">
        <x:v>yes</x:v>
      </x:c>
      <x:c r="K60" t="str">
        <x:v>summarize_history</x:v>
      </x:c>
      <x:c r="L60" t="n">
        <x:v>5</x:v>
      </x:c>
      <x:c r="M60" t="n">
        <x:v>2</x:v>
      </x:c>
      <x:c r="N60" s="14" t="n">
        <x:v>0.509</x:v>
      </x:c>
      <x:c r="O60" t="str">
        <x:v>no</x:v>
      </x:c>
      <x:c r="P60" t="str">
        <x:v>yes</x:v>
      </x:c>
      <x:c r="Q60" t="n">
        <x:v>1159</x:v>
      </x:c>
      <x:c r="R60" s="16" t="n">
        <x:v>0.828</x:v>
      </x:c>
      <x:c r="S60" t="str">
        <x:v>no</x:v>
      </x:c>
      <x:c r="T60" t="str">
        <x:v>no</x:v>
      </x:c>
      <x:c r="U60" t="str">
        <x:v>healthy</x:v>
      </x:c>
    </x:row>
    <x:row r="61">
      <x:c r="A61" s="12" t="n">
        <x:v>46244.08194444444</x:v>
      </x:c>
      <x:c r="B61" t="str">
        <x:v>req_73a784dfaf</x:v>
      </x:c>
      <x:c r="C61" t="str">
        <x:v>coding_assistant</x:v>
      </x:c>
      <x:c r="D61" t="n">
        <x:v>4096</x:v>
      </x:c>
      <x:c r="E61" t="n">
        <x:v>768</x:v>
      </x:c>
      <x:c r="F61" t="n">
        <x:v>1696</x:v>
      </x:c>
      <x:c r="G61" t="n">
        <x:v>3328</x:v>
      </x:c>
      <x:c r="H61" t="n">
        <x:v>1696</x:v>
      </x:c>
      <x:c r="I61" t="n">
        <x:v>0</x:v>
      </x:c>
      <x:c r="J61" t="str">
        <x:v>no</x:v>
      </x:c>
      <x:c r="K61" t="str">
        <x:v>none</x:v>
      </x:c>
      <x:c r="L61" t="n">
        <x:v>11</x:v>
      </x:c>
      <x:c r="M61" t="n">
        <x:v>11</x:v>
      </x:c>
      <x:c r="N61" s="14" t="n">
        <x:v>0</x:v>
      </x:c>
      <x:c r="O61" t="str">
        <x:v>no</x:v>
      </x:c>
      <x:c r="P61" t="str">
        <x:v>no</x:v>
      </x:c>
      <x:c r="Q61" t="n">
        <x:v>871</x:v>
      </x:c>
      <x:c r="R61" s="16" t="n">
        <x:v>0.967</x:v>
      </x:c>
      <x:c r="S61" t="str">
        <x:v>no</x:v>
      </x:c>
      <x:c r="T61" t="str">
        <x:v>no</x:v>
      </x:c>
      <x:c r="U61" t="str">
        <x:v>healthy</x:v>
      </x:c>
    </x:row>
  </x:sheetData>
  <x:conditionalFormatting sqref="I2:I61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{DFFB567F-BF23-D8C0-DAF0-27C608F894B2}</x14:id>
        </x:ext>
      </x:extLst>
    </x:cfRule>
  </x:conditionalFormatting>
  <x:conditionalFormatting sqref="N2:N61"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R2:R61">
    <x:cfRule type="colorScale" priority="3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U2:U61">
    <x:cfRule type="expression" dxfId="0" priority="4">
      <x:formula>U2="degraded"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7d8baeee4ad45c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FFB567F-BF23-D8C0-DAF0-27C608F894B2}">
            <x14:dataBar gradient="1">
              <x14:cfvo type="min"/>
              <x14:cfvo type="max"/>
              <x14:fillColor rgb="FF156082"/>
            </x14:dataBar>
          </x14:cfRule>
          <xm:sqref>I2:I61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4" hidden="0" customWidth="1"/>
    <x:col min="4" max="4" width="34" hidden="0" customWidth="1"/>
    <x:col min="5" max="5" width="14" hidden="0" customWidth="1"/>
    <x:col min="6" max="6" width="16" hidden="0" customWidth="1"/>
  </x:cols>
  <x:sheetData>
    <x:row r="1" ht="28" customHeight="1">
      <x:c r="A1" s="21" t="str">
        <x:v>Short Context Window — Synthetic Simulation</x:v>
      </x:c>
      <x:c r="B1" s="21"/>
      <x:c r="C1" s="21"/>
      <x:c r="D1" s="21"/>
      <x:c r="E1" s="21"/>
      <x:c r="F1" s="21"/>
      <x:c r="G1" s="21"/>
      <x:c r="H1" s="21"/>
    </x:row>
    <x:row r="3">
      <x:c r="A3" s="7" t="str">
        <x:v>KPI</x:v>
      </x:c>
      <x:c r="B3" s="7" t="str">
        <x:v>Value</x:v>
      </x:c>
      <x:c r="D3" s="7" t="str">
        <x:v>Mitigation</x:v>
      </x:c>
      <x:c r="E3" s="7" t="str">
        <x:v>Requests</x:v>
      </x:c>
      <x:c r="F3" s="7" t="str">
        <x:v>Avg Quality</x:v>
      </x:c>
    </x:row>
    <x:row r="4">
      <x:c r="A4" t="str">
        <x:v>Simulated Requests</x:v>
      </x:c>
      <x:c r="B4" t="n">
        <x:f>COUNTA('Context Events'!B2:B61)</x:f>
        <x:v>60</x:v>
      </x:c>
      <x:c r="D4" t="str">
        <x:v>truncate_oldest</x:v>
      </x:c>
      <x:c r="E4" t="n">
        <x:f>COUNTIF('Context Events'!K2:K61,D4)</x:f>
        <x:v>18</x:v>
      </x:c>
      <x:c r="F4" s="16" t="n">
        <x:f>IF(E4=0,0,SUMIF('Context Events'!K2:K61,D4,'Context Events'!R2:R61)/E4)</x:f>
        <x:v>0.7712777777777775</x:v>
      </x:c>
    </x:row>
    <x:row r="5">
      <x:c r="A5" t="str">
        <x:v>Context Limit</x:v>
      </x:c>
      <x:c r="B5" t="n">
        <x:v>4096</x:v>
      </x:c>
      <x:c r="D5" t="str">
        <x:v>summarize_history</x:v>
      </x:c>
      <x:c r="E5" t="n">
        <x:f>COUNTIF('Context Events'!K2:K61,D5)</x:f>
        <x:v>13</x:v>
      </x:c>
      <x:c r="F5" s="16" t="n">
        <x:f>IF(E5=0,0,SUMIF('Context Events'!K2:K61,D5,'Context Events'!R2:R61)/E5)</x:f>
        <x:v>0.8214615384615385</x:v>
      </x:c>
    </x:row>
    <x:row r="6">
      <x:c r="A6" t="str">
        <x:v>Truncation Rate</x:v>
      </x:c>
      <x:c r="B6" s="14" t="n">
        <x:f>COUNTIF('Context Events'!J2:J61,"yes")/B4</x:f>
        <x:v>0.6166666666666667</x:v>
      </x:c>
      <x:c r="D6" t="str">
        <x:v>retrieval_fallback</x:v>
      </x:c>
      <x:c r="E6" t="n">
        <x:f>COUNTIF('Context Events'!K2:K61,D6)</x:f>
        <x:v>6</x:v>
      </x:c>
      <x:c r="F6" s="16" t="n">
        <x:f>IF(E6=0,0,SUMIF('Context Events'!K2:K61,D6,'Context Events'!R2:R61)/E6)</x:f>
        <x:v>0.8588333333333332</x:v>
      </x:c>
    </x:row>
    <x:row r="7">
      <x:c r="A7" t="str">
        <x:v>Avg Dropped Tokens</x:v>
      </x:c>
      <x:c r="B7" s="14" t="n">
        <x:f>AVERAGE('Context Events'!I2:I61)</x:f>
        <x:v>1276.4666666666667</x:v>
      </x:c>
      <x:c r="D7" t="str">
        <x:v>none</x:v>
      </x:c>
      <x:c r="E7" t="n">
        <x:f>COUNTIF('Context Events'!K2:K61,D7)</x:f>
        <x:v>23</x:v>
      </x:c>
      <x:c r="F7" s="16" t="n">
        <x:f>IF(E7=0,0,SUMIF('Context Events'!K2:K61,D7,'Context Events'!R2:R61)/E7)</x:f>
        <x:v>0.9082608695652171</x:v>
      </x:c>
    </x:row>
    <x:row r="8">
      <x:c r="A8" t="str">
        <x:v>Avg Memory Loss</x:v>
      </x:c>
      <x:c r="B8" s="14" t="n">
        <x:f>AVERAGE('Context Events'!N2:N61)</x:f>
        <x:v>0.22405000000000003</x:v>
      </x:c>
    </x:row>
    <x:row r="9">
      <x:c r="A9" t="str">
        <x:v>Avg Answer Quality</x:v>
      </x:c>
      <x:c r="B9" s="16" t="n">
        <x:f>AVERAGE('Context Events'!R2:R61)</x:f>
        <x:v>0.8434166666666667</x:v>
      </x:c>
    </x:row>
    <x:row r="12">
      <x:c r="A12" s="7" t="str">
        <x:v>Failure Signal</x:v>
      </x:c>
      <x:c r="B12" s="7" t="str">
        <x:v>Count</x:v>
      </x:c>
      <x:c r="C12" s="7" t="str">
        <x:v>Rate</x:v>
      </x:c>
      <x:c r="D12" s="7" t="str">
        <x:v>Interpretation</x:v>
      </x:c>
    </x:row>
    <x:row r="13">
      <x:c r="A13" t="str">
        <x:v>Contradiction detected</x:v>
      </x:c>
      <x:c r="B13" t="n">
        <x:f>COUNTIF('Context Events'!S2:S61,"yes")</x:f>
        <x:v>3</x:v>
      </x:c>
      <x:c r="C13" s="14" t="n">
        <x:f>B13/$B$4</x:f>
        <x:v>0.05</x:v>
      </x:c>
      <x:c r="D13" t="str">
        <x:v>Answer conflicts with earlier context</x:v>
      </x:c>
    </x:row>
    <x:row r="14">
      <x:c r="A14" t="str">
        <x:v>Forgot prior instruction</x:v>
      </x:c>
      <x:c r="B14" t="n">
        <x:f>COUNTIF('Context Events'!T2:T61,"yes")</x:f>
        <x:v>7</x:v>
      </x:c>
      <x:c r="C14" s="14" t="n">
        <x:f>B14/$B$4</x:f>
        <x:v>0.11666666666666667</x:v>
      </x:c>
      <x:c r="D14" t="str">
        <x:v>Earlier user constraint was lost</x:v>
      </x:c>
    </x:row>
    <x:row r="15">
      <x:c r="A15" t="str">
        <x:v>Degraded responses</x:v>
      </x:c>
      <x:c r="B15" t="n">
        <x:f>COUNTIF('Context Events'!U2:U61,"degraded")</x:f>
        <x:v>14</x:v>
      </x:c>
      <x:c r="C15" s="14" t="n">
        <x:f>B15/$B$4</x:f>
        <x:v>0.23333333333333334</x:v>
      </x:c>
      <x:c r="D15" t="str">
        <x:v>Quality or memory failure observed</x:v>
      </x:c>
    </x:row>
    <x:row r="16">
      <x:c r="A16" t="str">
        <x:v>Healthy responses</x:v>
      </x:c>
      <x:c r="B16" t="n">
        <x:f>COUNTIF('Context Events'!U2:U61,"healthy")</x:f>
        <x:v>46</x:v>
      </x:c>
      <x:c r="C16" s="14" t="n">
        <x:f>B16/$B$4</x:f>
        <x:v>0.7666666666666667</x:v>
      </x:c>
      <x:c r="D16" t="str">
        <x:v>No major short-context failure</x:v>
      </x:c>
    </x:row>
    <x:row r="19">
      <x:c r="A19" s="29" t="str">
        <x:v>Simulation assumption: a 4,096-token total context budget with output tokens reserved first. When input exceeds the remaining budget, older context is truncated, summarized, or recovered through retrieval.</x:v>
      </x:c>
      <x:c r="B19" s="29"/>
      <x:c r="C19" s="29"/>
      <x:c r="D19" s="29"/>
      <x:c r="E19" s="29"/>
      <x:c r="F19" s="29"/>
      <x:c r="G19" s="29"/>
      <x:c r="H19" s="29"/>
    </x:row>
    <x:row r="20">
      <x:c r="A20" s="29"/>
      <x:c r="B20" s="29"/>
      <x:c r="C20" s="29"/>
      <x:c r="D20" s="29"/>
      <x:c r="E20" s="29"/>
      <x:c r="F20" s="29"/>
      <x:c r="G20" s="29"/>
      <x:c r="H20" s="29"/>
    </x:row>
    <x:row r="21">
      <x:c r="A21" s="29"/>
      <x:c r="B21" s="29"/>
      <x:c r="C21" s="29"/>
      <x:c r="D21" s="29"/>
      <x:c r="E21" s="29"/>
      <x:c r="F21" s="29"/>
      <x:c r="G21" s="29"/>
      <x:c r="H21" s="29"/>
    </x:row>
  </x:sheetData>
  <x:mergeCells>
    <x:mergeCell ref="A1:H1"/>
    <x:mergeCell ref="A19:H21"/>
  </x:mergeCells>
  <x:pageMargins left="0.7" right="0.7" top="0.75" bottom="0.75" header="0.3" footer="0.3"/>
  <x:drawing xmlns:r="http://schemas.openxmlformats.org/officeDocument/2006/relationships" r:id="Rad9a0241b6224847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>
      <x:c r="A1" s="7" t="str">
        <x:v>What this file simulates</x:v>
      </x:c>
      <x:c r="B1" s="7"/>
      <x:c r="C1" s="7"/>
      <x:c r="D1" s="7"/>
    </x:row>
    <x:row r="3">
      <x:c r="A3" s="7" t="str">
        <x:v>Field / Concept</x:v>
      </x:c>
      <x:c r="B3" s="7" t="str">
        <x:v>Meaning</x:v>
      </x:c>
    </x:row>
    <x:row r="4">
      <x:c r="A4" t="str">
        <x:v>Short context window</x:v>
      </x:c>
      <x:c r="B4" s="34" t="str">
        <x:v>Model can only retain a limited number of tokens for input + output.</x:v>
      </x:c>
    </x:row>
    <x:row r="5">
      <x:c r="A5" t="str">
        <x:v>Requested input</x:v>
      </x:c>
      <x:c r="B5" s="34" t="str">
        <x:v>Total conversation/document tokens that would ideally be sent.</x:v>
      </x:c>
    </x:row>
    <x:row r="6">
      <x:c r="A6" t="str">
        <x:v>Retained input</x:v>
      </x:c>
      <x:c r="B6" s="34" t="str">
        <x:v>Tokens that fit after reserving room for the model response.</x:v>
      </x:c>
    </x:row>
    <x:row r="7">
      <x:c r="A7" t="str">
        <x:v>Dropped tokens</x:v>
      </x:c>
      <x:c r="B7" s="34" t="str">
        <x:v>Older or lower-priority context that did not fit.</x:v>
      </x:c>
    </x:row>
    <x:row r="8">
      <x:c r="A8" t="str">
        <x:v>Memory loss %</x:v>
      </x:c>
      <x:c r="B8" s="34" t="str">
        <x:v>Dropped tokens divided by requested input tokens.</x:v>
      </x:c>
    </x:row>
    <x:row r="9">
      <x:c r="A9" t="str">
        <x:v>Mitigation</x:v>
      </x:c>
      <x:c r="B9" s="34" t="str">
        <x:v>Synthetic strategy used to reduce short-context damage.</x:v>
      </x:c>
    </x:row>
    <x:row r="10">
      <x:c r="A10" t="str">
        <x:v>Quality score</x:v>
      </x:c>
      <x:c r="B10" s="34" t="str">
        <x:v>Simulated answer-quality score from 0 to 1.</x:v>
      </x:c>
    </x:row>
    <x:row r="12">
      <x:c r="A12" s="7" t="str">
        <x:v>Important</x:v>
      </x:c>
      <x:c r="B12" s="36" t="str">
        <x:v>This is synthetic test data, not measurements from a real model or provider.</x:v>
      </x:c>
    </x:row>
    <x:row r="13">
      <x:c r="A13" t="str">
        <x:v>Context limit</x:v>
      </x:c>
      <x:c r="B13" s="34" t="str">
        <x:v>4,096 tokens for this simulation.</x:v>
      </x:c>
    </x:row>
    <x:row r="14">
      <x:c r="A14" t="str">
        <x:v>Rows</x:v>
      </x:c>
      <x:c r="B14" s="34" t="n">
        <x:v>60</x:v>
      </x:c>
    </x:row>
    <x:row r="15">
      <x:c r="A15" t="str">
        <x:v>Purpose</x:v>
      </x:c>
      <x:c r="B15" s="34" t="str">
        <x:v>Useful for testing dashboards, alerts, context-management logic, and observability pipelines.</x:v>
      </x:c>
    </x:row>
    <x:row r="16">
      <x:c r="A16" t="str">
        <x:v>Suggested alert</x:v>
      </x:c>
      <x:c r="B16" s="34" t="str">
        <x:v>Flag when memory_loss_pct &gt; 20% or answer_quality_score &lt; 0.72.</x:v>
      </x:c>
    </x:row>
  </x:sheetData>
  <x:mergeCells>
    <x:mergeCell ref="A1:D1"/>
  </x:mergeCells>
  <x:pageMargins left="0.7" right="0.7" top="0.75" bottom="0.75" header="0.3" footer="0.3"/>
</x:worksheet>
</file>